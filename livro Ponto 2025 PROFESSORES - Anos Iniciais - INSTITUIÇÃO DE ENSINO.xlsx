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J:\Meu Drive\1 INSPEÇÃO ESCOLAR 2025\7. DOCUMENTAÇÃO ESCOLAR GLOBAL\8. LIVROS PONTO\2025\"/>
    </mc:Choice>
  </mc:AlternateContent>
  <xr:revisionPtr revIDLastSave="0" documentId="13_ncr:1_{F5DB50DB-10B5-41F5-832B-2181D3FCFDCA}" xr6:coauthVersionLast="47" xr6:coauthVersionMax="47" xr10:uidLastSave="{00000000-0000-0000-0000-000000000000}"/>
  <bookViews>
    <workbookView xWindow="-120" yWindow="-120" windowWidth="29040" windowHeight="15840" tabRatio="673" xr2:uid="{00000000-000D-0000-FFFF-FFFF00000000}"/>
  </bookViews>
  <sheets>
    <sheet name="DADOS" sheetId="2" r:id="rId1"/>
    <sheet name="MENU" sheetId="1" r:id="rId2"/>
    <sheet name="LIVRO DE PONTO" sheetId="3" r:id="rId3"/>
  </sheets>
  <externalReferences>
    <externalReference r:id="rId4"/>
  </externalReferences>
  <definedNames>
    <definedName name="ANO">#REF!</definedName>
    <definedName name="_xlnm.Print_Area" localSheetId="2">'LIVRO DE PONTO'!$A$1:$P$35</definedName>
    <definedName name="_xlnm.Print_Area" localSheetId="1">MENU!$A$1:$O$69</definedName>
    <definedName name="DIASLETIVOS">#REF!</definedName>
    <definedName name="DiasTarefa">'[1]Ensino Fundamental - NOVO (2)'!$I$69:$J$71</definedName>
    <definedName name="domingo">#REF!</definedName>
    <definedName name="FERIADOS">#REF!</definedName>
    <definedName name="FÉRIAS">#REF!</definedName>
    <definedName name="sabad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14" i="2" l="1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5" i="2"/>
  <c r="D216" i="2"/>
  <c r="D217" i="2"/>
  <c r="D218" i="2"/>
  <c r="D219" i="2"/>
  <c r="D220" i="2"/>
  <c r="D7" i="2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4" i="2" s="1"/>
  <c r="B75" i="2" l="1"/>
  <c r="B3" i="3"/>
  <c r="O7" i="3"/>
  <c r="B7" i="3"/>
  <c r="B76" i="2" l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D6" i="2"/>
  <c r="B116" i="2" l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1" i="3"/>
  <c r="B35" i="3" l="1"/>
  <c r="B33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H7" i="3"/>
  <c r="B4" i="3"/>
  <c r="O1" i="3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</calcChain>
</file>

<file path=xl/sharedStrings.xml><?xml version="1.0" encoding="utf-8"?>
<sst xmlns="http://schemas.openxmlformats.org/spreadsheetml/2006/main" count="278" uniqueCount="48">
  <si>
    <t>ENDEREÇO</t>
  </si>
  <si>
    <t>CEP, TELEFONE E EMAIL</t>
  </si>
  <si>
    <t xml:space="preserve">TURNO: </t>
  </si>
  <si>
    <t>Nº</t>
  </si>
  <si>
    <t>SIT. FUN.</t>
  </si>
  <si>
    <t>MAT.</t>
  </si>
  <si>
    <t>Nome do professor</t>
  </si>
  <si>
    <t>Disciplinas</t>
  </si>
  <si>
    <t>Hor.</t>
  </si>
  <si>
    <t>Turmas/ Aulas</t>
  </si>
  <si>
    <t>Assinaturas</t>
  </si>
  <si>
    <t>Entr.</t>
  </si>
  <si>
    <t>Saída</t>
  </si>
  <si>
    <t>1ª</t>
  </si>
  <si>
    <t>2ª</t>
  </si>
  <si>
    <t>3ª</t>
  </si>
  <si>
    <t>4ª</t>
  </si>
  <si>
    <t>5ª</t>
  </si>
  <si>
    <t>OBS:</t>
  </si>
  <si>
    <t xml:space="preserve">COORDENADOR (A): </t>
  </si>
  <si>
    <t xml:space="preserve">DIRETOR (A): </t>
  </si>
  <si>
    <t xml:space="preserve">SIT. FUN. (SITUAÇÃO FUNCIONAL) </t>
  </si>
  <si>
    <t xml:space="preserve">LEGENDA:       </t>
  </si>
  <si>
    <r>
      <rPr>
        <b/>
        <sz val="11"/>
        <color indexed="8"/>
        <rFont val="Calibri"/>
        <family val="2"/>
      </rPr>
      <t>EST.</t>
    </r>
    <r>
      <rPr>
        <sz val="11"/>
        <color theme="1"/>
        <rFont val="Calibri"/>
        <family val="2"/>
        <scheme val="minor"/>
      </rPr>
      <t>= ESTATUTÁRIO</t>
    </r>
  </si>
  <si>
    <r>
      <rPr>
        <b/>
        <sz val="11"/>
        <color indexed="8"/>
        <rFont val="Calibri"/>
        <family val="2"/>
      </rPr>
      <t>DT</t>
    </r>
    <r>
      <rPr>
        <sz val="11"/>
        <color theme="1"/>
        <rFont val="Calibri"/>
        <family val="2"/>
        <scheme val="minor"/>
      </rPr>
      <t>= DESIGNAÇÃO TEMPORARIA</t>
    </r>
  </si>
  <si>
    <t>PÁGINA</t>
  </si>
  <si>
    <t>DIAS LETIVOS/OUTROS</t>
  </si>
  <si>
    <t>DATA</t>
  </si>
  <si>
    <t>NL</t>
  </si>
  <si>
    <t>DL</t>
  </si>
  <si>
    <t>CONSELHO DE CLASSE 1º TRIMESTRE</t>
  </si>
  <si>
    <t>Fundão - ES,</t>
  </si>
  <si>
    <t>LIVRO DE PONTO</t>
  </si>
  <si>
    <t>Nome do (a) professor (a)</t>
  </si>
  <si>
    <t>CONSELHO DE CLASSE 2º TRIMESTRE</t>
  </si>
  <si>
    <t>CONSELHO DE CLASSE 3º TRIMESTRE</t>
  </si>
  <si>
    <t>CONSELHO DE CLASSE FINAL</t>
  </si>
  <si>
    <t>Turma/Componente Curricular</t>
  </si>
  <si>
    <t xml:space="preserve">Turma/Componente Curricular </t>
  </si>
  <si>
    <t>OBS.:</t>
  </si>
  <si>
    <t>MATUTINO</t>
  </si>
  <si>
    <t xml:space="preserve">DIA LETIVO MARQUE "DL"
NÃO LETIVO "NL"
</t>
  </si>
  <si>
    <t>FÉRIAS ESCOLARES - 02/01 a 31/01</t>
  </si>
  <si>
    <t xml:space="preserve">FÉRIAS ESCOLARES - 15 a 23 de julho </t>
  </si>
  <si>
    <t>Acolhimento dos Funcionários / Jornada Pedagógica</t>
  </si>
  <si>
    <t xml:space="preserve"> Recuperação e Avaliação Final</t>
  </si>
  <si>
    <t>FÉRIAS ESCOLARES - 26 a 31 de dezembro</t>
  </si>
  <si>
    <t>Jornada Pedagógica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</si>
</sst>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00"/>
    <numFmt numFmtId="166" formatCode="[$-416]dddd\,\ dd&quot; de &quot;mmmm&quot; de &quot;yyyy"/>
    <numFmt numFmtId="167" formatCode="[$-F800]dddd\,\ mmmm\ dd\,\ yyyy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</font>
    <font>
      <b/>
      <sz val="24"/>
      <color rgb="FF000000"/>
      <name val="MV Boli"/>
    </font>
    <font>
      <sz val="8"/>
      <color rgb="FF000000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8"/>
      <color rgb="FF000000"/>
      <name val="Arial"/>
      <family val="2"/>
    </font>
    <font>
      <b/>
      <sz val="48"/>
      <color rgb="FF000000"/>
      <name val="MV Boli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lightGrid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5">
    <border>
      <left/>
      <right/>
      <top/>
      <bottom/>
      <diagonal/>
    </border>
    <border>
      <left/>
      <right/>
      <top/>
      <bottom style="slantDashDot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65" fontId="8" fillId="0" borderId="7" xfId="0" applyNumberFormat="1" applyFont="1" applyBorder="1" applyAlignment="1">
      <alignment horizontal="center" vertical="center" wrapText="1"/>
    </xf>
    <xf numFmtId="165" fontId="8" fillId="3" borderId="9" xfId="0" applyNumberFormat="1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vertical="center" wrapText="1"/>
    </xf>
    <xf numFmtId="0" fontId="9" fillId="3" borderId="13" xfId="0" applyFont="1" applyFill="1" applyBorder="1" applyAlignment="1">
      <alignment vertical="center" wrapText="1"/>
    </xf>
    <xf numFmtId="0" fontId="9" fillId="3" borderId="12" xfId="0" applyFont="1" applyFill="1" applyBorder="1" applyAlignment="1">
      <alignment vertical="center" wrapText="1"/>
    </xf>
    <xf numFmtId="165" fontId="8" fillId="3" borderId="7" xfId="0" applyNumberFormat="1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8" xfId="0" applyBorder="1"/>
    <xf numFmtId="0" fontId="6" fillId="0" borderId="0" xfId="0" applyFont="1" applyProtection="1">
      <protection locked="0"/>
    </xf>
    <xf numFmtId="0" fontId="6" fillId="0" borderId="0" xfId="0" applyFont="1"/>
    <xf numFmtId="165" fontId="12" fillId="0" borderId="0" xfId="0" applyNumberFormat="1" applyFont="1" applyAlignment="1">
      <alignment horizontal="right" vertical="center"/>
    </xf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2" borderId="0" xfId="1" applyFont="1" applyFill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left" vertical="center"/>
    </xf>
    <xf numFmtId="167" fontId="7" fillId="0" borderId="0" xfId="0" applyNumberFormat="1" applyFont="1" applyAlignment="1" applyProtection="1">
      <alignment vertical="center"/>
      <protection locked="0"/>
    </xf>
    <xf numFmtId="165" fontId="8" fillId="0" borderId="9" xfId="0" applyNumberFormat="1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vertical="center" wrapText="1"/>
      <protection locked="0"/>
    </xf>
    <xf numFmtId="1" fontId="8" fillId="0" borderId="14" xfId="0" applyNumberFormat="1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 applyProtection="1">
      <alignment vertical="center" wrapText="1"/>
      <protection locked="0"/>
    </xf>
    <xf numFmtId="0" fontId="8" fillId="0" borderId="9" xfId="0" quotePrefix="1" applyFont="1" applyBorder="1" applyAlignment="1" applyProtection="1">
      <alignment horizontal="center" vertical="center" wrapText="1"/>
      <protection locked="0"/>
    </xf>
    <xf numFmtId="0" fontId="11" fillId="0" borderId="9" xfId="0" applyFont="1" applyBorder="1" applyAlignment="1" applyProtection="1">
      <alignment horizontal="center" vertical="center" wrapText="1"/>
      <protection locked="0"/>
    </xf>
    <xf numFmtId="0" fontId="9" fillId="0" borderId="10" xfId="0" applyFont="1" applyBorder="1" applyAlignment="1" applyProtection="1">
      <alignment vertical="center" wrapText="1"/>
      <protection locked="0"/>
    </xf>
    <xf numFmtId="0" fontId="9" fillId="0" borderId="13" xfId="0" applyFont="1" applyBorder="1" applyAlignment="1" applyProtection="1">
      <alignment vertical="center" wrapText="1"/>
      <protection locked="0"/>
    </xf>
    <xf numFmtId="0" fontId="9" fillId="0" borderId="12" xfId="0" applyFont="1" applyBorder="1" applyAlignment="1" applyProtection="1">
      <alignment vertical="center" wrapText="1"/>
      <protection locked="0"/>
    </xf>
    <xf numFmtId="165" fontId="8" fillId="0" borderId="7" xfId="0" applyNumberFormat="1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164" fontId="7" fillId="0" borderId="0" xfId="0" applyNumberFormat="1" applyFont="1" applyAlignment="1" applyProtection="1">
      <alignment horizontal="right" vertical="center" indent="2"/>
      <protection locked="0"/>
    </xf>
    <xf numFmtId="166" fontId="0" fillId="0" borderId="0" xfId="0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5" fillId="2" borderId="0" xfId="1" applyFont="1" applyFill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left"/>
      <protection locked="0"/>
    </xf>
    <xf numFmtId="0" fontId="10" fillId="0" borderId="6" xfId="0" applyFont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167" fontId="7" fillId="0" borderId="0" xfId="0" applyNumberFormat="1" applyFont="1" applyAlignment="1" applyProtection="1">
      <alignment horizontal="right" vertical="center"/>
      <protection locked="0"/>
    </xf>
    <xf numFmtId="0" fontId="4" fillId="2" borderId="14" xfId="1" applyFont="1" applyFill="1" applyBorder="1" applyAlignment="1">
      <alignment horizontal="left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6" fillId="0" borderId="6" xfId="0" applyFont="1" applyBorder="1" applyAlignment="1" applyProtection="1">
      <alignment horizontal="left" vertical="top" wrapText="1"/>
      <protection locked="0"/>
    </xf>
    <xf numFmtId="0" fontId="16" fillId="0" borderId="5" xfId="0" applyFont="1" applyBorder="1" applyAlignment="1" applyProtection="1">
      <alignment horizontal="left" vertical="top" wrapText="1"/>
      <protection locked="0"/>
    </xf>
    <xf numFmtId="0" fontId="16" fillId="0" borderId="14" xfId="0" applyFont="1" applyBorder="1" applyAlignment="1" applyProtection="1">
      <alignment horizontal="left" vertical="top" wrapText="1"/>
      <protection locked="0"/>
    </xf>
    <xf numFmtId="0" fontId="16" fillId="0" borderId="9" xfId="0" applyFont="1" applyBorder="1" applyAlignment="1" applyProtection="1">
      <alignment horizontal="left" vertical="top" wrapText="1"/>
      <protection locked="0"/>
    </xf>
  </cellXfs>
  <cellStyles count="2">
    <cellStyle name="Normal" xfId="0" builtinId="0"/>
    <cellStyle name="Normal 2 2" xfId="1" xr:uid="{00000000-0005-0000-0000-000001000000}"/>
  </cellStyles>
  <dxfs count="18">
    <dxf>
      <numFmt numFmtId="166" formatCode="[$-416]dddd\,\ dd&quot; de &quot;mmmm&quot; de &quot;yyyy"/>
      <alignment horizontal="center" vertical="center" textRotation="0" wrapText="0" indent="0" justifyLastLine="0" shrinkToFit="0" readingOrder="0"/>
    </dxf>
    <dxf>
      <numFmt numFmtId="166" formatCode="[$-416]dddd\,\ dd&quot; de &quot;mmmm&quot; de &quot;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color theme="0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00"/>
      <alignment horizontal="center" vertical="center" textRotation="0" wrapText="0" indent="0" justifyLastLine="0" shrinkToFit="0" readingOrder="0"/>
    </dxf>
    <dxf>
      <numFmt numFmtId="164" formatCode="000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000"/>
      <alignment horizontal="center" vertical="center" textRotation="0" wrapText="0" indent="0" justifyLastLine="0" shrinkToFit="0" readingOrder="0"/>
    </dxf>
    <dxf>
      <numFmt numFmtId="164" formatCode="00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00"/>
      <alignment horizontal="center" vertical="center" textRotation="0" wrapText="0" indent="0" justifyLastLine="0" shrinkToFit="0" readingOrder="0"/>
    </dxf>
    <dxf>
      <numFmt numFmtId="164" formatCode="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39</xdr:row>
      <xdr:rowOff>28575</xdr:rowOff>
    </xdr:from>
    <xdr:to>
      <xdr:col>4</xdr:col>
      <xdr:colOff>9525</xdr:colOff>
      <xdr:row>41</xdr:row>
      <xdr:rowOff>133350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286000" y="4143375"/>
          <a:ext cx="2038350" cy="600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ln>
                <a:noFill/>
              </a:ln>
              <a:solidFill>
                <a:schemeClr val="tx1"/>
              </a:solidFill>
            </a:rPr>
            <a:t>MAT</a:t>
          </a:r>
          <a:r>
            <a:rPr lang="pt-BR" sz="1100">
              <a:ln>
                <a:noFill/>
              </a:ln>
              <a:solidFill>
                <a:schemeClr val="tx1"/>
              </a:solidFill>
            </a:rPr>
            <a:t> =</a:t>
          </a:r>
          <a:r>
            <a:rPr lang="pt-BR" sz="1100" baseline="0">
              <a:ln>
                <a:noFill/>
              </a:ln>
              <a:solidFill>
                <a:schemeClr val="tx1"/>
              </a:solidFill>
            </a:rPr>
            <a:t> Nº DA MATRÍCULA DO FUNCIONÁRIO</a:t>
          </a:r>
          <a:endParaRPr lang="pt-BR" sz="1100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445558</xdr:colOff>
      <xdr:row>34</xdr:row>
      <xdr:rowOff>148166</xdr:rowOff>
    </xdr:from>
    <xdr:to>
      <xdr:col>14</xdr:col>
      <xdr:colOff>539750</xdr:colOff>
      <xdr:row>34</xdr:row>
      <xdr:rowOff>148166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4827058" y="8330141"/>
          <a:ext cx="439949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32</xdr:row>
      <xdr:rowOff>169333</xdr:rowOff>
    </xdr:from>
    <xdr:to>
      <xdr:col>14</xdr:col>
      <xdr:colOff>446617</xdr:colOff>
      <xdr:row>32</xdr:row>
      <xdr:rowOff>169333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4848225" y="7951258"/>
          <a:ext cx="428519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2590800</xdr:colOff>
      <xdr:row>0</xdr:row>
      <xdr:rowOff>190500</xdr:rowOff>
    </xdr:from>
    <xdr:to>
      <xdr:col>15</xdr:col>
      <xdr:colOff>84667</xdr:colOff>
      <xdr:row>0</xdr:row>
      <xdr:rowOff>709083</xdr:rowOff>
    </xdr:to>
    <xdr:pic>
      <xdr:nvPicPr>
        <xdr:cNvPr id="4" name="image1.jpg" title="Imagem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0" y="190500"/>
          <a:ext cx="427567" cy="518583"/>
        </a:xfrm>
        <a:prstGeom prst="rect">
          <a:avLst/>
        </a:prstGeom>
        <a:noFill/>
      </xdr:spPr>
    </xdr:pic>
    <xdr:clientData fLocksWithSheet="0"/>
  </xdr:twoCellAnchor>
  <xdr:twoCellAnchor>
    <xdr:from>
      <xdr:col>14</xdr:col>
      <xdr:colOff>1828800</xdr:colOff>
      <xdr:row>33</xdr:row>
      <xdr:rowOff>152401</xdr:rowOff>
    </xdr:from>
    <xdr:to>
      <xdr:col>14</xdr:col>
      <xdr:colOff>2600325</xdr:colOff>
      <xdr:row>35</xdr:row>
      <xdr:rowOff>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0515600" y="8134351"/>
          <a:ext cx="771525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latin typeface="Arial" panose="020B0604020202020204" pitchFamily="34" charset="0"/>
              <a:cs typeface="Arial" panose="020B0604020202020204" pitchFamily="34" charset="0"/>
            </a:rPr>
            <a:t>Página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&#233;lia\Google%20Drive\CALEND&#193;RIO\CALEND&#193;RIO%202019\CALEND&#193;RIO%20ESCOLAR%20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ucação Infantil - NOVO "/>
      <sheetName val="Ensino Fundamental - NOVO"/>
      <sheetName val="EJA - NOVO"/>
      <sheetName val="Ensino Fundamental - NOVO (2)"/>
      <sheetName val="Planilha4"/>
      <sheetName val="Planilha3"/>
      <sheetName val="Ensino Fundamental - NOVO (3)"/>
    </sheetNames>
    <sheetDataSet>
      <sheetData sheetId="0"/>
      <sheetData sheetId="1"/>
      <sheetData sheetId="2"/>
      <sheetData sheetId="3">
        <row r="69">
          <cell r="I69">
            <v>43484</v>
          </cell>
        </row>
        <row r="70">
          <cell r="I70">
            <v>43706</v>
          </cell>
        </row>
        <row r="71">
          <cell r="I71" t="str">
            <v xml:space="preserve"> 15/12</v>
          </cell>
        </row>
      </sheetData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6:E221" headerRowCount="0" totalsRowShown="0" headerRowDxfId="17" dataDxfId="16" totalsRowDxfId="15">
  <tableColumns count="5">
    <tableColumn id="1" xr3:uid="{00000000-0010-0000-0000-000001000000}" name="Coluna1" headerRowDxfId="14" dataDxfId="13" totalsRowDxfId="12"/>
    <tableColumn id="2" xr3:uid="{00000000-0010-0000-0000-000002000000}" name="Coluna2" headerRowDxfId="11" dataDxfId="10" totalsRowDxfId="9">
      <calculatedColumnFormula>SUM(B5+1)</calculatedColumnFormula>
    </tableColumn>
    <tableColumn id="3" xr3:uid="{00000000-0010-0000-0000-000003000000}" name="Coluna3" headerRowDxfId="8" dataDxfId="7" totalsRowDxfId="6"/>
    <tableColumn id="4" xr3:uid="{00000000-0010-0000-0000-000004000000}" name="Coluna4" headerRowDxfId="5" dataDxfId="4" totalsRowDxfId="3">
      <calculatedColumnFormula>IF(C6="DL","DIA LETIVO: ",IF(C6="DNP", "DIA NÃO PRESENCIAL: ",""))</calculatedColumnFormula>
    </tableColumn>
    <tableColumn id="5" xr3:uid="{00000000-0010-0000-0000-000005000000}" name="Coluna5" headerRowDxfId="2" dataDxfId="1" totalsRowDxfId="0"/>
  </tableColumns>
  <tableStyleInfo name="TableStyleMedium21" showFirstColumn="1" showLastColumn="0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theme="1"/>
  </sheetPr>
  <dimension ref="A1:IV257"/>
  <sheetViews>
    <sheetView showGridLines="0" tabSelected="1" topLeftCell="A99" workbookViewId="0">
      <selection activeCell="B116" sqref="B116"/>
    </sheetView>
  </sheetViews>
  <sheetFormatPr defaultColWidth="0" defaultRowHeight="35.25" customHeight="1" zeroHeight="1" x14ac:dyDescent="0.25"/>
  <cols>
    <col min="1" max="1" width="20" style="31" customWidth="1"/>
    <col min="2" max="2" width="35.7109375" style="31" bestFit="1" customWidth="1"/>
    <col min="3" max="3" width="29.5703125" style="31" customWidth="1"/>
    <col min="4" max="4" width="28.7109375" style="31" hidden="1" customWidth="1"/>
    <col min="5" max="5" width="36.5703125" style="31" bestFit="1" customWidth="1"/>
    <col min="6" max="6" width="9.140625" customWidth="1"/>
    <col min="7" max="256" width="0" hidden="1" customWidth="1"/>
    <col min="257" max="16384" width="9.140625" hidden="1"/>
  </cols>
  <sheetData>
    <row r="1" spans="1:5" ht="15" hidden="1" x14ac:dyDescent="0.25"/>
    <row r="2" spans="1:5" ht="15" hidden="1" x14ac:dyDescent="0.25"/>
    <row r="3" spans="1:5" ht="15" hidden="1" x14ac:dyDescent="0.25"/>
    <row r="4" spans="1:5" ht="15" x14ac:dyDescent="0.25"/>
    <row r="5" spans="1:5" ht="15" x14ac:dyDescent="0.25"/>
    <row r="6" spans="1:5" ht="49.5" customHeight="1" x14ac:dyDescent="0.25">
      <c r="A6" s="55" t="s">
        <v>25</v>
      </c>
      <c r="B6" s="55" t="s">
        <v>26</v>
      </c>
      <c r="C6" s="56" t="s">
        <v>41</v>
      </c>
      <c r="D6" s="55" t="str">
        <f t="shared" ref="D6" si="0">IF(C6="DL","DIA LETIVO: ",IF(C6="DNP", "DIA NÃO PRESENCIAL: ",""))</f>
        <v/>
      </c>
      <c r="E6" s="55" t="s">
        <v>27</v>
      </c>
    </row>
    <row r="7" spans="1:5" ht="15" x14ac:dyDescent="0.25">
      <c r="A7" s="32">
        <v>1</v>
      </c>
      <c r="B7" s="32" t="s">
        <v>42</v>
      </c>
      <c r="C7" s="32" t="s">
        <v>28</v>
      </c>
      <c r="D7" s="33" t="str">
        <f>IF(C7="DL","DIA LETIVO: Nº ",IF(C7="DNP", "DIA NÃO PRESENCIAL: ",""))</f>
        <v/>
      </c>
      <c r="E7" s="54">
        <v>45659</v>
      </c>
    </row>
    <row r="8" spans="1:5" ht="15" x14ac:dyDescent="0.25">
      <c r="A8" s="32">
        <v>2</v>
      </c>
      <c r="B8" s="32" t="s">
        <v>44</v>
      </c>
      <c r="C8" s="31" t="s">
        <v>28</v>
      </c>
      <c r="D8" s="33" t="str">
        <f t="shared" ref="D8:D71" si="1">IF(C8="DL","DIA LETIVO: Nº ",IF(C8="DNP", "DIA NÃO PRESENCIAL: ",""))</f>
        <v/>
      </c>
      <c r="E8" s="54">
        <v>45691</v>
      </c>
    </row>
    <row r="9" spans="1:5" ht="15" x14ac:dyDescent="0.25">
      <c r="A9" s="32">
        <v>3</v>
      </c>
      <c r="B9" s="32">
        <v>1</v>
      </c>
      <c r="C9" s="31" t="s">
        <v>29</v>
      </c>
      <c r="D9" s="33" t="str">
        <f t="shared" si="1"/>
        <v xml:space="preserve">DIA LETIVO: Nº </v>
      </c>
      <c r="E9" s="54">
        <v>45692</v>
      </c>
    </row>
    <row r="10" spans="1:5" ht="15" x14ac:dyDescent="0.25">
      <c r="A10" s="32">
        <v>4</v>
      </c>
      <c r="B10" s="32">
        <f>SUM(B9+1)</f>
        <v>2</v>
      </c>
      <c r="C10" s="31" t="s">
        <v>29</v>
      </c>
      <c r="D10" s="33" t="str">
        <f t="shared" si="1"/>
        <v xml:space="preserve">DIA LETIVO: Nº </v>
      </c>
      <c r="E10" s="54">
        <v>45693</v>
      </c>
    </row>
    <row r="11" spans="1:5" ht="15" x14ac:dyDescent="0.25">
      <c r="A11" s="32">
        <v>5</v>
      </c>
      <c r="B11" s="32">
        <f t="shared" ref="B11:B72" si="2">SUM(B10+1)</f>
        <v>3</v>
      </c>
      <c r="C11" s="31" t="s">
        <v>29</v>
      </c>
      <c r="D11" s="33" t="str">
        <f t="shared" si="1"/>
        <v xml:space="preserve">DIA LETIVO: Nº </v>
      </c>
      <c r="E11" s="54">
        <v>45694</v>
      </c>
    </row>
    <row r="12" spans="1:5" ht="15" x14ac:dyDescent="0.25">
      <c r="A12" s="32">
        <v>6</v>
      </c>
      <c r="B12" s="32">
        <f t="shared" si="2"/>
        <v>4</v>
      </c>
      <c r="C12" s="31" t="s">
        <v>29</v>
      </c>
      <c r="D12" s="33" t="str">
        <f t="shared" si="1"/>
        <v xml:space="preserve">DIA LETIVO: Nº </v>
      </c>
      <c r="E12" s="54">
        <v>45695</v>
      </c>
    </row>
    <row r="13" spans="1:5" ht="15" x14ac:dyDescent="0.25">
      <c r="A13" s="32">
        <v>7</v>
      </c>
      <c r="B13" s="32">
        <f t="shared" si="2"/>
        <v>5</v>
      </c>
      <c r="C13" s="31" t="s">
        <v>29</v>
      </c>
      <c r="D13" s="33" t="str">
        <f t="shared" si="1"/>
        <v xml:space="preserve">DIA LETIVO: Nº </v>
      </c>
      <c r="E13" s="54">
        <v>45698</v>
      </c>
    </row>
    <row r="14" spans="1:5" ht="15" x14ac:dyDescent="0.25">
      <c r="A14" s="32">
        <v>8</v>
      </c>
      <c r="B14" s="32">
        <f t="shared" si="2"/>
        <v>6</v>
      </c>
      <c r="C14" s="31" t="s">
        <v>29</v>
      </c>
      <c r="D14" s="33" t="str">
        <f t="shared" si="1"/>
        <v xml:space="preserve">DIA LETIVO: Nº </v>
      </c>
      <c r="E14" s="54">
        <v>45699</v>
      </c>
    </row>
    <row r="15" spans="1:5" ht="15" x14ac:dyDescent="0.25">
      <c r="A15" s="32">
        <v>9</v>
      </c>
      <c r="B15" s="32">
        <f t="shared" si="2"/>
        <v>7</v>
      </c>
      <c r="C15" s="31" t="s">
        <v>29</v>
      </c>
      <c r="D15" s="33" t="str">
        <f t="shared" si="1"/>
        <v xml:space="preserve">DIA LETIVO: Nº </v>
      </c>
      <c r="E15" s="54">
        <v>45700</v>
      </c>
    </row>
    <row r="16" spans="1:5" ht="15" x14ac:dyDescent="0.25">
      <c r="A16" s="32">
        <v>10</v>
      </c>
      <c r="B16" s="32">
        <f t="shared" si="2"/>
        <v>8</v>
      </c>
      <c r="C16" s="31" t="s">
        <v>29</v>
      </c>
      <c r="D16" s="33" t="str">
        <f t="shared" si="1"/>
        <v xml:space="preserve">DIA LETIVO: Nº </v>
      </c>
      <c r="E16" s="54">
        <v>45701</v>
      </c>
    </row>
    <row r="17" spans="1:5" ht="15" x14ac:dyDescent="0.25">
      <c r="A17" s="32">
        <v>11</v>
      </c>
      <c r="B17" s="32">
        <f t="shared" si="2"/>
        <v>9</v>
      </c>
      <c r="C17" s="31" t="s">
        <v>29</v>
      </c>
      <c r="D17" s="33" t="str">
        <f t="shared" si="1"/>
        <v xml:space="preserve">DIA LETIVO: Nº </v>
      </c>
      <c r="E17" s="54">
        <v>45702</v>
      </c>
    </row>
    <row r="18" spans="1:5" ht="15" x14ac:dyDescent="0.25">
      <c r="A18" s="32">
        <v>12</v>
      </c>
      <c r="B18" s="32">
        <f t="shared" si="2"/>
        <v>10</v>
      </c>
      <c r="C18" s="31" t="s">
        <v>29</v>
      </c>
      <c r="D18" s="33" t="str">
        <f t="shared" si="1"/>
        <v xml:space="preserve">DIA LETIVO: Nº </v>
      </c>
      <c r="E18" s="54">
        <v>45705</v>
      </c>
    </row>
    <row r="19" spans="1:5" ht="15" x14ac:dyDescent="0.25">
      <c r="A19" s="32">
        <v>13</v>
      </c>
      <c r="B19" s="32">
        <f t="shared" si="2"/>
        <v>11</v>
      </c>
      <c r="C19" s="31" t="s">
        <v>29</v>
      </c>
      <c r="D19" s="33" t="str">
        <f t="shared" si="1"/>
        <v xml:space="preserve">DIA LETIVO: Nº </v>
      </c>
      <c r="E19" s="54">
        <v>45706</v>
      </c>
    </row>
    <row r="20" spans="1:5" ht="15" x14ac:dyDescent="0.25">
      <c r="A20" s="32">
        <v>14</v>
      </c>
      <c r="B20" s="32">
        <f t="shared" si="2"/>
        <v>12</v>
      </c>
      <c r="C20" s="31" t="s">
        <v>29</v>
      </c>
      <c r="D20" s="33" t="str">
        <f t="shared" si="1"/>
        <v xml:space="preserve">DIA LETIVO: Nº </v>
      </c>
      <c r="E20" s="54">
        <v>45707</v>
      </c>
    </row>
    <row r="21" spans="1:5" ht="15" x14ac:dyDescent="0.25">
      <c r="A21" s="32">
        <v>15</v>
      </c>
      <c r="B21" s="32">
        <f t="shared" si="2"/>
        <v>13</v>
      </c>
      <c r="C21" s="31" t="s">
        <v>29</v>
      </c>
      <c r="D21" s="33" t="str">
        <f t="shared" si="1"/>
        <v xml:space="preserve">DIA LETIVO: Nº </v>
      </c>
      <c r="E21" s="54">
        <v>45708</v>
      </c>
    </row>
    <row r="22" spans="1:5" ht="15" x14ac:dyDescent="0.25">
      <c r="A22" s="32">
        <v>16</v>
      </c>
      <c r="B22" s="32">
        <f>SUM(B21+1)</f>
        <v>14</v>
      </c>
      <c r="C22" s="31" t="s">
        <v>29</v>
      </c>
      <c r="D22" s="33" t="str">
        <f t="shared" si="1"/>
        <v xml:space="preserve">DIA LETIVO: Nº </v>
      </c>
      <c r="E22" s="54">
        <v>45709</v>
      </c>
    </row>
    <row r="23" spans="1:5" ht="15" x14ac:dyDescent="0.25">
      <c r="A23" s="32">
        <v>17</v>
      </c>
      <c r="B23" s="32">
        <f t="shared" si="2"/>
        <v>15</v>
      </c>
      <c r="C23" s="31" t="s">
        <v>29</v>
      </c>
      <c r="D23" s="33" t="str">
        <f t="shared" si="1"/>
        <v xml:space="preserve">DIA LETIVO: Nº </v>
      </c>
      <c r="E23" s="54">
        <v>45712</v>
      </c>
    </row>
    <row r="24" spans="1:5" ht="15" x14ac:dyDescent="0.25">
      <c r="A24" s="32">
        <v>18</v>
      </c>
      <c r="B24" s="32">
        <f t="shared" si="2"/>
        <v>16</v>
      </c>
      <c r="C24" s="31" t="s">
        <v>29</v>
      </c>
      <c r="D24" s="33" t="str">
        <f t="shared" si="1"/>
        <v xml:space="preserve">DIA LETIVO: Nº </v>
      </c>
      <c r="E24" s="54">
        <v>45713</v>
      </c>
    </row>
    <row r="25" spans="1:5" ht="15" x14ac:dyDescent="0.25">
      <c r="A25" s="32">
        <v>19</v>
      </c>
      <c r="B25" s="32">
        <f t="shared" si="2"/>
        <v>17</v>
      </c>
      <c r="C25" s="31" t="s">
        <v>29</v>
      </c>
      <c r="D25" s="33" t="str">
        <f t="shared" si="1"/>
        <v xml:space="preserve">DIA LETIVO: Nº </v>
      </c>
      <c r="E25" s="54">
        <v>45714</v>
      </c>
    </row>
    <row r="26" spans="1:5" ht="15" x14ac:dyDescent="0.25">
      <c r="A26" s="32">
        <v>20</v>
      </c>
      <c r="B26" s="32">
        <f t="shared" si="2"/>
        <v>18</v>
      </c>
      <c r="C26" s="57" t="s">
        <v>29</v>
      </c>
      <c r="D26" s="33" t="str">
        <f t="shared" si="1"/>
        <v xml:space="preserve">DIA LETIVO: Nº </v>
      </c>
      <c r="E26" s="54">
        <v>45715</v>
      </c>
    </row>
    <row r="27" spans="1:5" ht="15" x14ac:dyDescent="0.25">
      <c r="A27" s="32">
        <v>21</v>
      </c>
      <c r="B27" s="32">
        <f t="shared" si="2"/>
        <v>19</v>
      </c>
      <c r="C27" s="57" t="s">
        <v>29</v>
      </c>
      <c r="D27" s="33" t="str">
        <f t="shared" si="1"/>
        <v xml:space="preserve">DIA LETIVO: Nº </v>
      </c>
      <c r="E27" s="54">
        <v>45716</v>
      </c>
    </row>
    <row r="28" spans="1:5" ht="15" x14ac:dyDescent="0.25">
      <c r="A28" s="32">
        <v>22</v>
      </c>
      <c r="B28" s="32">
        <f t="shared" si="2"/>
        <v>20</v>
      </c>
      <c r="C28" s="57" t="s">
        <v>29</v>
      </c>
      <c r="D28" s="33" t="str">
        <f t="shared" si="1"/>
        <v xml:space="preserve">DIA LETIVO: Nº </v>
      </c>
      <c r="E28" s="54">
        <v>45722</v>
      </c>
    </row>
    <row r="29" spans="1:5" ht="15" x14ac:dyDescent="0.25">
      <c r="A29" s="32">
        <v>23</v>
      </c>
      <c r="B29" s="32">
        <f t="shared" si="2"/>
        <v>21</v>
      </c>
      <c r="C29" s="57" t="s">
        <v>29</v>
      </c>
      <c r="D29" s="33" t="str">
        <f t="shared" si="1"/>
        <v xml:space="preserve">DIA LETIVO: Nº </v>
      </c>
      <c r="E29" s="54">
        <v>45723</v>
      </c>
    </row>
    <row r="30" spans="1:5" ht="15" x14ac:dyDescent="0.25">
      <c r="A30" s="32">
        <v>24</v>
      </c>
      <c r="B30" s="32">
        <f t="shared" si="2"/>
        <v>22</v>
      </c>
      <c r="C30" s="57" t="s">
        <v>29</v>
      </c>
      <c r="D30" s="33" t="str">
        <f t="shared" si="1"/>
        <v xml:space="preserve">DIA LETIVO: Nº </v>
      </c>
      <c r="E30" s="54">
        <v>45726</v>
      </c>
    </row>
    <row r="31" spans="1:5" ht="15" x14ac:dyDescent="0.25">
      <c r="A31" s="32">
        <v>25</v>
      </c>
      <c r="B31" s="32">
        <f>SUM(B30+1)</f>
        <v>23</v>
      </c>
      <c r="C31" s="57" t="s">
        <v>29</v>
      </c>
      <c r="D31" s="33" t="str">
        <f t="shared" si="1"/>
        <v xml:space="preserve">DIA LETIVO: Nº </v>
      </c>
      <c r="E31" s="54">
        <v>45727</v>
      </c>
    </row>
    <row r="32" spans="1:5" ht="15" x14ac:dyDescent="0.25">
      <c r="A32" s="32">
        <v>26</v>
      </c>
      <c r="B32" s="32">
        <f t="shared" si="2"/>
        <v>24</v>
      </c>
      <c r="C32" s="57" t="s">
        <v>29</v>
      </c>
      <c r="D32" s="33" t="str">
        <f t="shared" si="1"/>
        <v xml:space="preserve">DIA LETIVO: Nº </v>
      </c>
      <c r="E32" s="54">
        <v>45728</v>
      </c>
    </row>
    <row r="33" spans="1:5" ht="15" x14ac:dyDescent="0.25">
      <c r="A33" s="32">
        <v>27</v>
      </c>
      <c r="B33" s="32">
        <f t="shared" si="2"/>
        <v>25</v>
      </c>
      <c r="C33" s="57" t="s">
        <v>29</v>
      </c>
      <c r="D33" s="33" t="str">
        <f t="shared" si="1"/>
        <v xml:space="preserve">DIA LETIVO: Nº </v>
      </c>
      <c r="E33" s="54">
        <v>45729</v>
      </c>
    </row>
    <row r="34" spans="1:5" ht="15" x14ac:dyDescent="0.25">
      <c r="A34" s="32">
        <v>28</v>
      </c>
      <c r="B34" s="32">
        <f t="shared" si="2"/>
        <v>26</v>
      </c>
      <c r="C34" s="57" t="s">
        <v>29</v>
      </c>
      <c r="D34" s="33" t="str">
        <f t="shared" si="1"/>
        <v xml:space="preserve">DIA LETIVO: Nº </v>
      </c>
      <c r="E34" s="54">
        <v>45730</v>
      </c>
    </row>
    <row r="35" spans="1:5" ht="15" x14ac:dyDescent="0.25">
      <c r="A35" s="32">
        <v>29</v>
      </c>
      <c r="B35" s="32">
        <f t="shared" si="2"/>
        <v>27</v>
      </c>
      <c r="C35" s="57" t="s">
        <v>29</v>
      </c>
      <c r="D35" s="33" t="str">
        <f t="shared" si="1"/>
        <v xml:space="preserve">DIA LETIVO: Nº </v>
      </c>
      <c r="E35" s="54">
        <v>45733</v>
      </c>
    </row>
    <row r="36" spans="1:5" ht="15" x14ac:dyDescent="0.25">
      <c r="A36" s="32">
        <v>30</v>
      </c>
      <c r="B36" s="32">
        <f t="shared" si="2"/>
        <v>28</v>
      </c>
      <c r="C36" s="57" t="s">
        <v>29</v>
      </c>
      <c r="D36" s="33" t="str">
        <f t="shared" si="1"/>
        <v xml:space="preserve">DIA LETIVO: Nº </v>
      </c>
      <c r="E36" s="54">
        <v>45734</v>
      </c>
    </row>
    <row r="37" spans="1:5" ht="15" x14ac:dyDescent="0.25">
      <c r="A37" s="32">
        <v>31</v>
      </c>
      <c r="B37" s="32">
        <f t="shared" si="2"/>
        <v>29</v>
      </c>
      <c r="C37" s="57" t="s">
        <v>29</v>
      </c>
      <c r="D37" s="33" t="str">
        <f t="shared" si="1"/>
        <v xml:space="preserve">DIA LETIVO: Nº </v>
      </c>
      <c r="E37" s="54">
        <v>45736</v>
      </c>
    </row>
    <row r="38" spans="1:5" ht="15" x14ac:dyDescent="0.25">
      <c r="A38" s="32">
        <v>32</v>
      </c>
      <c r="B38" s="32">
        <f t="shared" si="2"/>
        <v>30</v>
      </c>
      <c r="C38" s="57" t="s">
        <v>29</v>
      </c>
      <c r="D38" s="33" t="str">
        <f t="shared" si="1"/>
        <v xml:space="preserve">DIA LETIVO: Nº </v>
      </c>
      <c r="E38" s="54">
        <v>45737</v>
      </c>
    </row>
    <row r="39" spans="1:5" ht="15" x14ac:dyDescent="0.25">
      <c r="A39" s="32">
        <v>33</v>
      </c>
      <c r="B39" s="32">
        <f t="shared" si="2"/>
        <v>31</v>
      </c>
      <c r="C39" s="57" t="s">
        <v>29</v>
      </c>
      <c r="D39" s="33" t="str">
        <f t="shared" si="1"/>
        <v xml:space="preserve">DIA LETIVO: Nº </v>
      </c>
      <c r="E39" s="54">
        <v>45740</v>
      </c>
    </row>
    <row r="40" spans="1:5" ht="15" x14ac:dyDescent="0.25">
      <c r="A40" s="32">
        <v>34</v>
      </c>
      <c r="B40" s="32">
        <f t="shared" si="2"/>
        <v>32</v>
      </c>
      <c r="C40" s="57" t="s">
        <v>29</v>
      </c>
      <c r="D40" s="33" t="str">
        <f t="shared" si="1"/>
        <v xml:space="preserve">DIA LETIVO: Nº </v>
      </c>
      <c r="E40" s="54">
        <v>45741</v>
      </c>
    </row>
    <row r="41" spans="1:5" ht="15" x14ac:dyDescent="0.25">
      <c r="A41" s="32">
        <v>35</v>
      </c>
      <c r="B41" s="32">
        <f t="shared" si="2"/>
        <v>33</v>
      </c>
      <c r="C41" s="57" t="s">
        <v>29</v>
      </c>
      <c r="D41" s="33" t="str">
        <f t="shared" si="1"/>
        <v xml:space="preserve">DIA LETIVO: Nº </v>
      </c>
      <c r="E41" s="54">
        <v>45742</v>
      </c>
    </row>
    <row r="42" spans="1:5" ht="15" x14ac:dyDescent="0.25">
      <c r="A42" s="32">
        <v>36</v>
      </c>
      <c r="B42" s="32">
        <f t="shared" si="2"/>
        <v>34</v>
      </c>
      <c r="C42" s="57" t="s">
        <v>29</v>
      </c>
      <c r="D42" s="33" t="str">
        <f t="shared" si="1"/>
        <v xml:space="preserve">DIA LETIVO: Nº </v>
      </c>
      <c r="E42" s="54">
        <v>45743</v>
      </c>
    </row>
    <row r="43" spans="1:5" ht="15" x14ac:dyDescent="0.25">
      <c r="A43" s="32">
        <v>37</v>
      </c>
      <c r="B43" s="32">
        <f t="shared" si="2"/>
        <v>35</v>
      </c>
      <c r="C43" s="57" t="s">
        <v>29</v>
      </c>
      <c r="D43" s="33" t="str">
        <f t="shared" si="1"/>
        <v xml:space="preserve">DIA LETIVO: Nº </v>
      </c>
      <c r="E43" s="54">
        <v>45744</v>
      </c>
    </row>
    <row r="44" spans="1:5" ht="15" x14ac:dyDescent="0.25">
      <c r="A44" s="32">
        <v>38</v>
      </c>
      <c r="B44" s="32">
        <f t="shared" si="2"/>
        <v>36</v>
      </c>
      <c r="C44" s="57" t="s">
        <v>29</v>
      </c>
      <c r="D44" s="33" t="str">
        <f t="shared" si="1"/>
        <v xml:space="preserve">DIA LETIVO: Nº </v>
      </c>
      <c r="E44" s="54">
        <v>45747</v>
      </c>
    </row>
    <row r="45" spans="1:5" ht="15" x14ac:dyDescent="0.25">
      <c r="A45" s="32">
        <v>39</v>
      </c>
      <c r="B45" s="32">
        <f t="shared" si="2"/>
        <v>37</v>
      </c>
      <c r="C45" s="57" t="s">
        <v>29</v>
      </c>
      <c r="D45" s="33" t="str">
        <f t="shared" si="1"/>
        <v xml:space="preserve">DIA LETIVO: Nº </v>
      </c>
      <c r="E45" s="54">
        <v>45748</v>
      </c>
    </row>
    <row r="46" spans="1:5" ht="15" x14ac:dyDescent="0.25">
      <c r="A46" s="32">
        <v>40</v>
      </c>
      <c r="B46" s="32">
        <f t="shared" si="2"/>
        <v>38</v>
      </c>
      <c r="C46" s="57" t="s">
        <v>29</v>
      </c>
      <c r="D46" s="33" t="str">
        <f t="shared" si="1"/>
        <v xml:space="preserve">DIA LETIVO: Nº </v>
      </c>
      <c r="E46" s="54">
        <v>45749</v>
      </c>
    </row>
    <row r="47" spans="1:5" ht="15" x14ac:dyDescent="0.25">
      <c r="A47" s="32">
        <v>41</v>
      </c>
      <c r="B47" s="32">
        <f t="shared" si="2"/>
        <v>39</v>
      </c>
      <c r="C47" s="57" t="s">
        <v>29</v>
      </c>
      <c r="D47" s="33" t="str">
        <f t="shared" si="1"/>
        <v xml:space="preserve">DIA LETIVO: Nº </v>
      </c>
      <c r="E47" s="54">
        <v>45750</v>
      </c>
    </row>
    <row r="48" spans="1:5" ht="15" x14ac:dyDescent="0.25">
      <c r="A48" s="32">
        <v>42</v>
      </c>
      <c r="B48" s="32">
        <f t="shared" si="2"/>
        <v>40</v>
      </c>
      <c r="C48" s="57" t="s">
        <v>29</v>
      </c>
      <c r="D48" s="33" t="str">
        <f t="shared" si="1"/>
        <v xml:space="preserve">DIA LETIVO: Nº </v>
      </c>
      <c r="E48" s="54">
        <v>45751</v>
      </c>
    </row>
    <row r="49" spans="1:5" ht="15" x14ac:dyDescent="0.25">
      <c r="A49" s="32">
        <v>43</v>
      </c>
      <c r="B49" s="32">
        <f t="shared" si="2"/>
        <v>41</v>
      </c>
      <c r="C49" s="57" t="s">
        <v>29</v>
      </c>
      <c r="D49" s="33" t="str">
        <f t="shared" si="1"/>
        <v xml:space="preserve">DIA LETIVO: Nº </v>
      </c>
      <c r="E49" s="54">
        <v>45754</v>
      </c>
    </row>
    <row r="50" spans="1:5" ht="15" x14ac:dyDescent="0.25">
      <c r="A50" s="32">
        <v>44</v>
      </c>
      <c r="B50" s="32">
        <f t="shared" si="2"/>
        <v>42</v>
      </c>
      <c r="C50" s="32" t="s">
        <v>29</v>
      </c>
      <c r="D50" s="33" t="str">
        <f t="shared" si="1"/>
        <v xml:space="preserve">DIA LETIVO: Nº </v>
      </c>
      <c r="E50" s="54">
        <v>45755</v>
      </c>
    </row>
    <row r="51" spans="1:5" ht="15" x14ac:dyDescent="0.25">
      <c r="A51" s="32">
        <v>45</v>
      </c>
      <c r="B51" s="32">
        <f t="shared" si="2"/>
        <v>43</v>
      </c>
      <c r="C51" s="57" t="s">
        <v>29</v>
      </c>
      <c r="D51" s="33" t="str">
        <f t="shared" si="1"/>
        <v xml:space="preserve">DIA LETIVO: Nº </v>
      </c>
      <c r="E51" s="54">
        <v>45756</v>
      </c>
    </row>
    <row r="52" spans="1:5" ht="15" x14ac:dyDescent="0.25">
      <c r="A52" s="32">
        <v>46</v>
      </c>
      <c r="B52" s="32">
        <f t="shared" si="2"/>
        <v>44</v>
      </c>
      <c r="C52" s="57" t="s">
        <v>29</v>
      </c>
      <c r="D52" s="33" t="str">
        <f t="shared" si="1"/>
        <v xml:space="preserve">DIA LETIVO: Nº </v>
      </c>
      <c r="E52" s="54">
        <v>45757</v>
      </c>
    </row>
    <row r="53" spans="1:5" ht="15" x14ac:dyDescent="0.25">
      <c r="A53" s="32">
        <v>47</v>
      </c>
      <c r="B53" s="32">
        <f t="shared" si="2"/>
        <v>45</v>
      </c>
      <c r="C53" s="57" t="s">
        <v>29</v>
      </c>
      <c r="D53" s="33" t="str">
        <f t="shared" si="1"/>
        <v xml:space="preserve">DIA LETIVO: Nº </v>
      </c>
      <c r="E53" s="54">
        <v>45758</v>
      </c>
    </row>
    <row r="54" spans="1:5" ht="15" x14ac:dyDescent="0.25">
      <c r="A54" s="32">
        <v>48</v>
      </c>
      <c r="B54" s="32">
        <f t="shared" si="2"/>
        <v>46</v>
      </c>
      <c r="C54" s="57" t="s">
        <v>29</v>
      </c>
      <c r="D54" s="33" t="str">
        <f t="shared" si="1"/>
        <v xml:space="preserve">DIA LETIVO: Nº </v>
      </c>
      <c r="E54" s="54">
        <v>45761</v>
      </c>
    </row>
    <row r="55" spans="1:5" ht="15" x14ac:dyDescent="0.25">
      <c r="A55" s="32">
        <v>49</v>
      </c>
      <c r="B55" s="32">
        <f t="shared" si="2"/>
        <v>47</v>
      </c>
      <c r="C55" s="57" t="s">
        <v>29</v>
      </c>
      <c r="D55" s="33" t="str">
        <f t="shared" si="1"/>
        <v xml:space="preserve">DIA LETIVO: Nº </v>
      </c>
      <c r="E55" s="54">
        <v>45762</v>
      </c>
    </row>
    <row r="56" spans="1:5" ht="15" x14ac:dyDescent="0.25">
      <c r="A56" s="32">
        <v>50</v>
      </c>
      <c r="B56" s="32">
        <f t="shared" si="2"/>
        <v>48</v>
      </c>
      <c r="C56" s="57" t="s">
        <v>29</v>
      </c>
      <c r="D56" s="33" t="str">
        <f t="shared" si="1"/>
        <v xml:space="preserve">DIA LETIVO: Nº </v>
      </c>
      <c r="E56" s="54">
        <v>45763</v>
      </c>
    </row>
    <row r="57" spans="1:5" ht="15" x14ac:dyDescent="0.25">
      <c r="A57" s="32">
        <v>51</v>
      </c>
      <c r="B57" s="32">
        <f t="shared" si="2"/>
        <v>49</v>
      </c>
      <c r="C57" s="57" t="s">
        <v>29</v>
      </c>
      <c r="D57" s="33" t="str">
        <f t="shared" si="1"/>
        <v xml:space="preserve">DIA LETIVO: Nº </v>
      </c>
      <c r="E57" s="54">
        <v>45764</v>
      </c>
    </row>
    <row r="58" spans="1:5" ht="15" x14ac:dyDescent="0.25">
      <c r="A58" s="32">
        <v>52</v>
      </c>
      <c r="B58" s="32">
        <f t="shared" si="2"/>
        <v>50</v>
      </c>
      <c r="C58" s="57" t="s">
        <v>29</v>
      </c>
      <c r="D58" s="33" t="str">
        <f t="shared" si="1"/>
        <v xml:space="preserve">DIA LETIVO: Nº </v>
      </c>
      <c r="E58" s="54">
        <v>45769</v>
      </c>
    </row>
    <row r="59" spans="1:5" ht="15" x14ac:dyDescent="0.25">
      <c r="A59" s="32">
        <v>53</v>
      </c>
      <c r="B59" s="32">
        <f t="shared" si="2"/>
        <v>51</v>
      </c>
      <c r="C59" s="57" t="s">
        <v>29</v>
      </c>
      <c r="D59" s="33" t="str">
        <f t="shared" si="1"/>
        <v xml:space="preserve">DIA LETIVO: Nº </v>
      </c>
      <c r="E59" s="54">
        <v>45770</v>
      </c>
    </row>
    <row r="60" spans="1:5" ht="15" x14ac:dyDescent="0.25">
      <c r="A60" s="32">
        <v>54</v>
      </c>
      <c r="B60" s="32">
        <f t="shared" si="2"/>
        <v>52</v>
      </c>
      <c r="C60" s="57" t="s">
        <v>29</v>
      </c>
      <c r="D60" s="33" t="str">
        <f t="shared" si="1"/>
        <v xml:space="preserve">DIA LETIVO: Nº </v>
      </c>
      <c r="E60" s="54">
        <v>45771</v>
      </c>
    </row>
    <row r="61" spans="1:5" ht="15" x14ac:dyDescent="0.25">
      <c r="A61" s="32">
        <v>55</v>
      </c>
      <c r="B61" s="32">
        <f t="shared" si="2"/>
        <v>53</v>
      </c>
      <c r="C61" s="57" t="s">
        <v>29</v>
      </c>
      <c r="D61" s="33" t="str">
        <f t="shared" si="1"/>
        <v xml:space="preserve">DIA LETIVO: Nº </v>
      </c>
      <c r="E61" s="54">
        <v>45772</v>
      </c>
    </row>
    <row r="62" spans="1:5" ht="15" x14ac:dyDescent="0.25">
      <c r="A62" s="32">
        <v>56</v>
      </c>
      <c r="B62" s="32">
        <f t="shared" si="2"/>
        <v>54</v>
      </c>
      <c r="C62" s="57" t="s">
        <v>29</v>
      </c>
      <c r="D62" s="33" t="str">
        <f t="shared" si="1"/>
        <v xml:space="preserve">DIA LETIVO: Nº </v>
      </c>
      <c r="E62" s="54">
        <v>45776</v>
      </c>
    </row>
    <row r="63" spans="1:5" ht="15" x14ac:dyDescent="0.25">
      <c r="A63" s="32">
        <v>57</v>
      </c>
      <c r="B63" s="32">
        <f t="shared" si="2"/>
        <v>55</v>
      </c>
      <c r="C63" s="57" t="s">
        <v>29</v>
      </c>
      <c r="D63" s="33" t="str">
        <f t="shared" si="1"/>
        <v xml:space="preserve">DIA LETIVO: Nº </v>
      </c>
      <c r="E63" s="54">
        <v>45777</v>
      </c>
    </row>
    <row r="64" spans="1:5" ht="15" x14ac:dyDescent="0.25">
      <c r="A64" s="32">
        <v>58</v>
      </c>
      <c r="B64" s="32">
        <f t="shared" si="2"/>
        <v>56</v>
      </c>
      <c r="C64" s="57" t="s">
        <v>29</v>
      </c>
      <c r="D64" s="33" t="str">
        <f t="shared" si="1"/>
        <v xml:space="preserve">DIA LETIVO: Nº </v>
      </c>
      <c r="E64" s="54">
        <v>45782</v>
      </c>
    </row>
    <row r="65" spans="1:5" ht="15" x14ac:dyDescent="0.25">
      <c r="A65" s="32">
        <v>59</v>
      </c>
      <c r="B65" s="32">
        <f t="shared" si="2"/>
        <v>57</v>
      </c>
      <c r="C65" s="57" t="s">
        <v>29</v>
      </c>
      <c r="D65" s="33" t="str">
        <f t="shared" si="1"/>
        <v xml:space="preserve">DIA LETIVO: Nº </v>
      </c>
      <c r="E65" s="54">
        <v>45783</v>
      </c>
    </row>
    <row r="66" spans="1:5" ht="15" x14ac:dyDescent="0.25">
      <c r="A66" s="32">
        <v>60</v>
      </c>
      <c r="B66" s="32">
        <f t="shared" si="2"/>
        <v>58</v>
      </c>
      <c r="C66" s="57" t="s">
        <v>29</v>
      </c>
      <c r="D66" s="33" t="str">
        <f t="shared" si="1"/>
        <v xml:space="preserve">DIA LETIVO: Nº </v>
      </c>
      <c r="E66" s="54">
        <v>45784</v>
      </c>
    </row>
    <row r="67" spans="1:5" ht="15" x14ac:dyDescent="0.25">
      <c r="A67" s="32">
        <v>61</v>
      </c>
      <c r="B67" s="32">
        <f t="shared" si="2"/>
        <v>59</v>
      </c>
      <c r="C67" s="57" t="s">
        <v>29</v>
      </c>
      <c r="D67" s="33" t="str">
        <f t="shared" si="1"/>
        <v xml:space="preserve">DIA LETIVO: Nº </v>
      </c>
      <c r="E67" s="54">
        <v>45785</v>
      </c>
    </row>
    <row r="68" spans="1:5" ht="15" x14ac:dyDescent="0.25">
      <c r="A68" s="32">
        <v>62</v>
      </c>
      <c r="B68" s="32">
        <f t="shared" si="2"/>
        <v>60</v>
      </c>
      <c r="C68" s="57" t="s">
        <v>29</v>
      </c>
      <c r="D68" s="33" t="str">
        <f t="shared" si="1"/>
        <v xml:space="preserve">DIA LETIVO: Nº </v>
      </c>
      <c r="E68" s="54">
        <v>45786</v>
      </c>
    </row>
    <row r="69" spans="1:5" ht="15" x14ac:dyDescent="0.25">
      <c r="A69" s="32">
        <v>63</v>
      </c>
      <c r="B69" s="32">
        <f t="shared" si="2"/>
        <v>61</v>
      </c>
      <c r="C69" s="57" t="s">
        <v>29</v>
      </c>
      <c r="D69" s="33" t="str">
        <f t="shared" si="1"/>
        <v xml:space="preserve">DIA LETIVO: Nº </v>
      </c>
      <c r="E69" s="54">
        <v>45789</v>
      </c>
    </row>
    <row r="70" spans="1:5" ht="15" x14ac:dyDescent="0.25">
      <c r="A70" s="32">
        <v>64</v>
      </c>
      <c r="B70" s="32">
        <f t="shared" si="2"/>
        <v>62</v>
      </c>
      <c r="C70" s="57" t="s">
        <v>29</v>
      </c>
      <c r="D70" s="33" t="str">
        <f t="shared" si="1"/>
        <v xml:space="preserve">DIA LETIVO: Nº </v>
      </c>
      <c r="E70" s="54">
        <v>45790</v>
      </c>
    </row>
    <row r="71" spans="1:5" ht="15" x14ac:dyDescent="0.25">
      <c r="A71" s="32">
        <v>65</v>
      </c>
      <c r="B71" s="32">
        <f t="shared" si="2"/>
        <v>63</v>
      </c>
      <c r="C71" s="57" t="s">
        <v>29</v>
      </c>
      <c r="D71" s="33" t="str">
        <f t="shared" si="1"/>
        <v xml:space="preserve">DIA LETIVO: Nº </v>
      </c>
      <c r="E71" s="54">
        <v>45791</v>
      </c>
    </row>
    <row r="72" spans="1:5" ht="15" x14ac:dyDescent="0.25">
      <c r="A72" s="32">
        <v>66</v>
      </c>
      <c r="B72" s="32">
        <f t="shared" si="2"/>
        <v>64</v>
      </c>
      <c r="C72" s="57" t="s">
        <v>29</v>
      </c>
      <c r="D72" s="33" t="str">
        <f t="shared" ref="D72:D132" si="3">IF(C72="DL","DIA LETIVO: Nº ",IF(C72="DNP", "DIA NÃO PRESENCIAL: ",""))</f>
        <v xml:space="preserve">DIA LETIVO: Nº </v>
      </c>
      <c r="E72" s="54">
        <v>45792</v>
      </c>
    </row>
    <row r="73" spans="1:5" ht="15" x14ac:dyDescent="0.25">
      <c r="A73" s="32">
        <v>67</v>
      </c>
      <c r="B73" s="32" t="s">
        <v>30</v>
      </c>
      <c r="C73" s="57" t="s">
        <v>28</v>
      </c>
      <c r="D73" s="33" t="str">
        <f t="shared" si="3"/>
        <v/>
      </c>
      <c r="E73" s="54">
        <v>45793</v>
      </c>
    </row>
    <row r="74" spans="1:5" ht="15" x14ac:dyDescent="0.25">
      <c r="A74" s="32">
        <v>68</v>
      </c>
      <c r="B74" s="32">
        <f>SUM(B72+1)</f>
        <v>65</v>
      </c>
      <c r="C74" s="57" t="s">
        <v>29</v>
      </c>
      <c r="D74" s="33" t="str">
        <f t="shared" si="3"/>
        <v xml:space="preserve">DIA LETIVO: Nº </v>
      </c>
      <c r="E74" s="54">
        <v>45796</v>
      </c>
    </row>
    <row r="75" spans="1:5" ht="15" x14ac:dyDescent="0.25">
      <c r="A75" s="32">
        <v>69</v>
      </c>
      <c r="B75" s="58">
        <f>SUM(B74+1)</f>
        <v>66</v>
      </c>
      <c r="C75" s="57" t="s">
        <v>29</v>
      </c>
      <c r="D75" s="33" t="str">
        <f t="shared" si="3"/>
        <v xml:space="preserve">DIA LETIVO: Nº </v>
      </c>
      <c r="E75" s="54">
        <v>45797</v>
      </c>
    </row>
    <row r="76" spans="1:5" ht="15" x14ac:dyDescent="0.25">
      <c r="A76" s="32">
        <v>70</v>
      </c>
      <c r="B76" s="58">
        <f>SUM(B75+1)</f>
        <v>67</v>
      </c>
      <c r="C76" s="32" t="s">
        <v>29</v>
      </c>
      <c r="D76" s="33" t="str">
        <f t="shared" si="3"/>
        <v xml:space="preserve">DIA LETIVO: Nº </v>
      </c>
      <c r="E76" s="54">
        <v>45798</v>
      </c>
    </row>
    <row r="77" spans="1:5" ht="15" x14ac:dyDescent="0.25">
      <c r="A77" s="32">
        <v>71</v>
      </c>
      <c r="B77" s="32">
        <f>SUM(B76+1)</f>
        <v>68</v>
      </c>
      <c r="C77" s="57" t="s">
        <v>29</v>
      </c>
      <c r="D77" s="33" t="str">
        <f t="shared" si="3"/>
        <v xml:space="preserve">DIA LETIVO: Nº </v>
      </c>
      <c r="E77" s="54">
        <v>45799</v>
      </c>
    </row>
    <row r="78" spans="1:5" ht="15" x14ac:dyDescent="0.25">
      <c r="A78" s="32">
        <v>72</v>
      </c>
      <c r="B78" s="32">
        <f t="shared" ref="B78:B91" si="4">SUM(B77+1)</f>
        <v>69</v>
      </c>
      <c r="C78" s="57" t="s">
        <v>29</v>
      </c>
      <c r="D78" s="33" t="str">
        <f t="shared" si="3"/>
        <v xml:space="preserve">DIA LETIVO: Nº </v>
      </c>
      <c r="E78" s="54">
        <v>45800</v>
      </c>
    </row>
    <row r="79" spans="1:5" ht="15" x14ac:dyDescent="0.25">
      <c r="A79" s="32">
        <v>73</v>
      </c>
      <c r="B79" s="32">
        <f t="shared" si="4"/>
        <v>70</v>
      </c>
      <c r="C79" s="32" t="s">
        <v>29</v>
      </c>
      <c r="D79" s="33" t="str">
        <f t="shared" si="3"/>
        <v xml:space="preserve">DIA LETIVO: Nº </v>
      </c>
      <c r="E79" s="54">
        <v>45803</v>
      </c>
    </row>
    <row r="80" spans="1:5" ht="15" x14ac:dyDescent="0.25">
      <c r="A80" s="32">
        <v>74</v>
      </c>
      <c r="B80" s="32">
        <f t="shared" si="4"/>
        <v>71</v>
      </c>
      <c r="C80" s="32" t="s">
        <v>29</v>
      </c>
      <c r="D80" s="33" t="str">
        <f t="shared" si="3"/>
        <v xml:space="preserve">DIA LETIVO: Nº </v>
      </c>
      <c r="E80" s="54">
        <v>45804</v>
      </c>
    </row>
    <row r="81" spans="1:5" ht="15" x14ac:dyDescent="0.25">
      <c r="A81" s="32">
        <v>75</v>
      </c>
      <c r="B81" s="32">
        <f t="shared" si="4"/>
        <v>72</v>
      </c>
      <c r="C81" s="32" t="s">
        <v>29</v>
      </c>
      <c r="D81" s="33" t="str">
        <f t="shared" si="3"/>
        <v xml:space="preserve">DIA LETIVO: Nº </v>
      </c>
      <c r="E81" s="54">
        <v>45805</v>
      </c>
    </row>
    <row r="82" spans="1:5" ht="15" x14ac:dyDescent="0.25">
      <c r="A82" s="32">
        <v>76</v>
      </c>
      <c r="B82" s="32">
        <f t="shared" si="4"/>
        <v>73</v>
      </c>
      <c r="C82" s="32" t="s">
        <v>29</v>
      </c>
      <c r="D82" s="33" t="str">
        <f t="shared" si="3"/>
        <v xml:space="preserve">DIA LETIVO: Nº </v>
      </c>
      <c r="E82" s="54">
        <v>45806</v>
      </c>
    </row>
    <row r="83" spans="1:5" ht="15" x14ac:dyDescent="0.25">
      <c r="A83" s="32">
        <v>77</v>
      </c>
      <c r="B83" s="32">
        <f t="shared" si="4"/>
        <v>74</v>
      </c>
      <c r="C83" s="32" t="s">
        <v>29</v>
      </c>
      <c r="D83" s="33" t="str">
        <f t="shared" si="3"/>
        <v xml:space="preserve">DIA LETIVO: Nº </v>
      </c>
      <c r="E83" s="54">
        <v>45807</v>
      </c>
    </row>
    <row r="84" spans="1:5" ht="15" x14ac:dyDescent="0.25">
      <c r="A84" s="32">
        <v>78</v>
      </c>
      <c r="B84" s="32">
        <f t="shared" si="4"/>
        <v>75</v>
      </c>
      <c r="C84" s="32" t="s">
        <v>29</v>
      </c>
      <c r="D84" s="33" t="str">
        <f t="shared" si="3"/>
        <v xml:space="preserve">DIA LETIVO: Nº </v>
      </c>
      <c r="E84" s="54">
        <v>45810</v>
      </c>
    </row>
    <row r="85" spans="1:5" ht="15" x14ac:dyDescent="0.25">
      <c r="A85" s="32">
        <v>79</v>
      </c>
      <c r="B85" s="32">
        <f t="shared" si="4"/>
        <v>76</v>
      </c>
      <c r="C85" s="32" t="s">
        <v>29</v>
      </c>
      <c r="D85" s="33" t="str">
        <f t="shared" si="3"/>
        <v xml:space="preserve">DIA LETIVO: Nº </v>
      </c>
      <c r="E85" s="54">
        <v>45811</v>
      </c>
    </row>
    <row r="86" spans="1:5" ht="15" x14ac:dyDescent="0.25">
      <c r="A86" s="32">
        <v>80</v>
      </c>
      <c r="B86" s="32">
        <f t="shared" si="4"/>
        <v>77</v>
      </c>
      <c r="C86" s="32" t="s">
        <v>29</v>
      </c>
      <c r="D86" s="33" t="str">
        <f t="shared" si="3"/>
        <v xml:space="preserve">DIA LETIVO: Nº </v>
      </c>
      <c r="E86" s="54">
        <v>45812</v>
      </c>
    </row>
    <row r="87" spans="1:5" ht="15" x14ac:dyDescent="0.25">
      <c r="A87" s="32">
        <v>81</v>
      </c>
      <c r="B87" s="32">
        <f t="shared" si="4"/>
        <v>78</v>
      </c>
      <c r="C87" s="32" t="s">
        <v>29</v>
      </c>
      <c r="D87" s="33" t="str">
        <f t="shared" si="3"/>
        <v xml:space="preserve">DIA LETIVO: Nº </v>
      </c>
      <c r="E87" s="54">
        <v>45813</v>
      </c>
    </row>
    <row r="88" spans="1:5" ht="15" x14ac:dyDescent="0.25">
      <c r="A88" s="32">
        <v>82</v>
      </c>
      <c r="B88" s="32">
        <f t="shared" si="4"/>
        <v>79</v>
      </c>
      <c r="C88" s="32" t="s">
        <v>29</v>
      </c>
      <c r="D88" s="33" t="str">
        <f t="shared" si="3"/>
        <v xml:space="preserve">DIA LETIVO: Nº </v>
      </c>
      <c r="E88" s="54">
        <v>45814</v>
      </c>
    </row>
    <row r="89" spans="1:5" ht="15" x14ac:dyDescent="0.25">
      <c r="A89" s="32">
        <v>83</v>
      </c>
      <c r="B89" s="32">
        <f t="shared" si="4"/>
        <v>80</v>
      </c>
      <c r="C89" s="32" t="s">
        <v>29</v>
      </c>
      <c r="D89" s="33" t="str">
        <f t="shared" si="3"/>
        <v xml:space="preserve">DIA LETIVO: Nº </v>
      </c>
      <c r="E89" s="54">
        <v>45817</v>
      </c>
    </row>
    <row r="90" spans="1:5" ht="15" x14ac:dyDescent="0.25">
      <c r="A90" s="32">
        <v>84</v>
      </c>
      <c r="B90" s="32">
        <f t="shared" si="4"/>
        <v>81</v>
      </c>
      <c r="C90" s="32" t="s">
        <v>29</v>
      </c>
      <c r="D90" s="33" t="str">
        <f t="shared" si="3"/>
        <v xml:space="preserve">DIA LETIVO: Nº </v>
      </c>
      <c r="E90" s="54">
        <v>45818</v>
      </c>
    </row>
    <row r="91" spans="1:5" ht="15" x14ac:dyDescent="0.25">
      <c r="A91" s="32">
        <v>85</v>
      </c>
      <c r="B91" s="32">
        <f t="shared" si="4"/>
        <v>82</v>
      </c>
      <c r="C91" s="32" t="s">
        <v>29</v>
      </c>
      <c r="D91" s="33" t="str">
        <f t="shared" si="3"/>
        <v xml:space="preserve">DIA LETIVO: Nº </v>
      </c>
      <c r="E91" s="54">
        <v>45819</v>
      </c>
    </row>
    <row r="92" spans="1:5" ht="15" x14ac:dyDescent="0.25">
      <c r="A92" s="32">
        <v>86</v>
      </c>
      <c r="B92" s="32">
        <f>SUM(B91+1)</f>
        <v>83</v>
      </c>
      <c r="C92" s="32" t="s">
        <v>29</v>
      </c>
      <c r="D92" s="33" t="str">
        <f t="shared" si="3"/>
        <v xml:space="preserve">DIA LETIVO: Nº </v>
      </c>
      <c r="E92" s="54">
        <v>45820</v>
      </c>
    </row>
    <row r="93" spans="1:5" ht="15" x14ac:dyDescent="0.25">
      <c r="A93" s="32">
        <v>87</v>
      </c>
      <c r="B93" s="32">
        <f>SUM(B92+1)</f>
        <v>84</v>
      </c>
      <c r="C93" s="32" t="s">
        <v>29</v>
      </c>
      <c r="D93" s="33" t="str">
        <f t="shared" si="3"/>
        <v xml:space="preserve">DIA LETIVO: Nº </v>
      </c>
      <c r="E93" s="54">
        <v>45821</v>
      </c>
    </row>
    <row r="94" spans="1:5" ht="15" x14ac:dyDescent="0.25">
      <c r="A94" s="32">
        <v>88</v>
      </c>
      <c r="B94" s="32">
        <f t="shared" ref="B94:B150" si="5">SUM(B93+1)</f>
        <v>85</v>
      </c>
      <c r="C94" s="32" t="s">
        <v>29</v>
      </c>
      <c r="D94" s="33" t="str">
        <f t="shared" si="3"/>
        <v xml:space="preserve">DIA LETIVO: Nº </v>
      </c>
      <c r="E94" s="54">
        <v>45824</v>
      </c>
    </row>
    <row r="95" spans="1:5" ht="15" x14ac:dyDescent="0.25">
      <c r="A95" s="32">
        <v>89</v>
      </c>
      <c r="B95" s="32">
        <f t="shared" si="5"/>
        <v>86</v>
      </c>
      <c r="C95" s="32" t="s">
        <v>29</v>
      </c>
      <c r="D95" s="33" t="str">
        <f t="shared" si="3"/>
        <v xml:space="preserve">DIA LETIVO: Nº </v>
      </c>
      <c r="E95" s="54">
        <v>45825</v>
      </c>
    </row>
    <row r="96" spans="1:5" ht="15" x14ac:dyDescent="0.25">
      <c r="A96" s="32">
        <v>90</v>
      </c>
      <c r="B96" s="32">
        <f t="shared" si="5"/>
        <v>87</v>
      </c>
      <c r="C96" s="32" t="s">
        <v>29</v>
      </c>
      <c r="D96" s="33" t="str">
        <f t="shared" si="3"/>
        <v xml:space="preserve">DIA LETIVO: Nº </v>
      </c>
      <c r="E96" s="54">
        <v>45826</v>
      </c>
    </row>
    <row r="97" spans="1:5" ht="15" x14ac:dyDescent="0.25">
      <c r="A97" s="32">
        <v>91</v>
      </c>
      <c r="B97" s="32">
        <f>SUM(B96+1)</f>
        <v>88</v>
      </c>
      <c r="C97" s="32" t="s">
        <v>29</v>
      </c>
      <c r="D97" s="33" t="str">
        <f t="shared" si="3"/>
        <v xml:space="preserve">DIA LETIVO: Nº </v>
      </c>
      <c r="E97" s="54">
        <v>45828</v>
      </c>
    </row>
    <row r="98" spans="1:5" ht="15" x14ac:dyDescent="0.25">
      <c r="A98" s="32">
        <v>92</v>
      </c>
      <c r="B98" s="32">
        <f>SUM(B97+1)</f>
        <v>89</v>
      </c>
      <c r="C98" s="32" t="s">
        <v>29</v>
      </c>
      <c r="D98" s="33" t="str">
        <f t="shared" si="3"/>
        <v xml:space="preserve">DIA LETIVO: Nº </v>
      </c>
      <c r="E98" s="54">
        <v>45831</v>
      </c>
    </row>
    <row r="99" spans="1:5" ht="15" x14ac:dyDescent="0.25">
      <c r="A99" s="32">
        <v>93</v>
      </c>
      <c r="B99" s="32">
        <f t="shared" si="5"/>
        <v>90</v>
      </c>
      <c r="C99" s="32" t="s">
        <v>29</v>
      </c>
      <c r="D99" s="33" t="str">
        <f t="shared" si="3"/>
        <v xml:space="preserve">DIA LETIVO: Nº </v>
      </c>
      <c r="E99" s="54">
        <v>45832</v>
      </c>
    </row>
    <row r="100" spans="1:5" ht="15" x14ac:dyDescent="0.25">
      <c r="A100" s="32">
        <v>94</v>
      </c>
      <c r="B100" s="32">
        <f t="shared" si="5"/>
        <v>91</v>
      </c>
      <c r="C100" s="32" t="s">
        <v>29</v>
      </c>
      <c r="D100" s="33" t="str">
        <f t="shared" si="3"/>
        <v xml:space="preserve">DIA LETIVO: Nº </v>
      </c>
      <c r="E100" s="54">
        <v>45833</v>
      </c>
    </row>
    <row r="101" spans="1:5" ht="15" x14ac:dyDescent="0.25">
      <c r="A101" s="32">
        <v>95</v>
      </c>
      <c r="B101" s="32">
        <f t="shared" si="5"/>
        <v>92</v>
      </c>
      <c r="C101" s="32" t="s">
        <v>29</v>
      </c>
      <c r="D101" s="33" t="str">
        <f t="shared" si="3"/>
        <v xml:space="preserve">DIA LETIVO: Nº </v>
      </c>
      <c r="E101" s="54">
        <v>45834</v>
      </c>
    </row>
    <row r="102" spans="1:5" ht="15" x14ac:dyDescent="0.25">
      <c r="A102" s="32">
        <v>96</v>
      </c>
      <c r="B102" s="32">
        <f t="shared" si="5"/>
        <v>93</v>
      </c>
      <c r="C102" s="32" t="s">
        <v>29</v>
      </c>
      <c r="D102" s="33" t="str">
        <f t="shared" si="3"/>
        <v xml:space="preserve">DIA LETIVO: Nº </v>
      </c>
      <c r="E102" s="54">
        <v>45835</v>
      </c>
    </row>
    <row r="103" spans="1:5" ht="15" x14ac:dyDescent="0.25">
      <c r="A103" s="32">
        <v>97</v>
      </c>
      <c r="B103" s="32">
        <f t="shared" si="5"/>
        <v>94</v>
      </c>
      <c r="C103" s="32" t="s">
        <v>29</v>
      </c>
      <c r="D103" s="33" t="str">
        <f t="shared" si="3"/>
        <v xml:space="preserve">DIA LETIVO: Nº </v>
      </c>
      <c r="E103" s="54">
        <v>45838</v>
      </c>
    </row>
    <row r="104" spans="1:5" ht="15" x14ac:dyDescent="0.25">
      <c r="A104" s="32">
        <v>98</v>
      </c>
      <c r="B104" s="32">
        <f t="shared" si="5"/>
        <v>95</v>
      </c>
      <c r="C104" s="32" t="s">
        <v>29</v>
      </c>
      <c r="D104" s="33" t="str">
        <f t="shared" si="3"/>
        <v xml:space="preserve">DIA LETIVO: Nº </v>
      </c>
      <c r="E104" s="54">
        <v>45839</v>
      </c>
    </row>
    <row r="105" spans="1:5" ht="15" x14ac:dyDescent="0.25">
      <c r="A105" s="32">
        <v>99</v>
      </c>
      <c r="B105" s="32">
        <f t="shared" si="5"/>
        <v>96</v>
      </c>
      <c r="C105" s="32" t="s">
        <v>29</v>
      </c>
      <c r="D105" s="33" t="str">
        <f t="shared" si="3"/>
        <v xml:space="preserve">DIA LETIVO: Nº </v>
      </c>
      <c r="E105" s="54">
        <v>45840</v>
      </c>
    </row>
    <row r="106" spans="1:5" ht="15" x14ac:dyDescent="0.25">
      <c r="A106" s="32">
        <v>100</v>
      </c>
      <c r="B106" s="32">
        <f t="shared" si="5"/>
        <v>97</v>
      </c>
      <c r="C106" s="32" t="s">
        <v>29</v>
      </c>
      <c r="D106" s="33" t="str">
        <f t="shared" si="3"/>
        <v xml:space="preserve">DIA LETIVO: Nº </v>
      </c>
      <c r="E106" s="54">
        <v>45841</v>
      </c>
    </row>
    <row r="107" spans="1:5" ht="15" x14ac:dyDescent="0.25">
      <c r="A107" s="32">
        <v>101</v>
      </c>
      <c r="B107" s="32">
        <f t="shared" si="5"/>
        <v>98</v>
      </c>
      <c r="C107" s="32" t="s">
        <v>29</v>
      </c>
      <c r="D107" s="33" t="str">
        <f t="shared" si="3"/>
        <v xml:space="preserve">DIA LETIVO: Nº </v>
      </c>
      <c r="E107" s="54">
        <v>45842</v>
      </c>
    </row>
    <row r="108" spans="1:5" ht="15" x14ac:dyDescent="0.25">
      <c r="A108" s="32">
        <v>102</v>
      </c>
      <c r="B108" s="32">
        <f>SUM(B107+1)</f>
        <v>99</v>
      </c>
      <c r="C108" s="32" t="s">
        <v>29</v>
      </c>
      <c r="D108" s="33" t="str">
        <f t="shared" si="3"/>
        <v xml:space="preserve">DIA LETIVO: Nº </v>
      </c>
      <c r="E108" s="54">
        <v>45846</v>
      </c>
    </row>
    <row r="109" spans="1:5" ht="15" x14ac:dyDescent="0.25">
      <c r="A109" s="32">
        <v>103</v>
      </c>
      <c r="B109" s="32">
        <f t="shared" si="5"/>
        <v>100</v>
      </c>
      <c r="C109" s="32" t="s">
        <v>29</v>
      </c>
      <c r="D109" s="33" t="str">
        <f t="shared" si="3"/>
        <v xml:space="preserve">DIA LETIVO: Nº </v>
      </c>
      <c r="E109" s="54">
        <v>45847</v>
      </c>
    </row>
    <row r="110" spans="1:5" ht="15" x14ac:dyDescent="0.25">
      <c r="A110" s="32">
        <v>104</v>
      </c>
      <c r="B110" s="32">
        <f t="shared" si="5"/>
        <v>101</v>
      </c>
      <c r="C110" s="32" t="s">
        <v>29</v>
      </c>
      <c r="D110" s="33" t="str">
        <f t="shared" si="3"/>
        <v xml:space="preserve">DIA LETIVO: Nº </v>
      </c>
      <c r="E110" s="54">
        <v>45848</v>
      </c>
    </row>
    <row r="111" spans="1:5" ht="15" x14ac:dyDescent="0.25">
      <c r="A111" s="32">
        <v>105</v>
      </c>
      <c r="B111" s="32">
        <f t="shared" si="5"/>
        <v>102</v>
      </c>
      <c r="C111" s="32" t="s">
        <v>29</v>
      </c>
      <c r="D111" s="33" t="str">
        <f t="shared" si="3"/>
        <v xml:space="preserve">DIA LETIVO: Nº </v>
      </c>
      <c r="E111" s="54">
        <v>45849</v>
      </c>
    </row>
    <row r="112" spans="1:5" ht="15" x14ac:dyDescent="0.25">
      <c r="A112" s="32">
        <v>106</v>
      </c>
      <c r="B112" s="32" t="s">
        <v>43</v>
      </c>
      <c r="C112" s="32" t="s">
        <v>28</v>
      </c>
      <c r="D112" s="33" t="str">
        <f t="shared" si="3"/>
        <v/>
      </c>
      <c r="E112" s="54">
        <v>45852</v>
      </c>
    </row>
    <row r="113" spans="1:5" ht="15" x14ac:dyDescent="0.25">
      <c r="A113" s="32">
        <v>107</v>
      </c>
      <c r="B113" s="32" t="s">
        <v>47</v>
      </c>
      <c r="C113" s="31" t="s">
        <v>28</v>
      </c>
      <c r="D113" s="33" t="str">
        <f t="shared" si="3"/>
        <v/>
      </c>
      <c r="E113" s="54">
        <v>45861</v>
      </c>
    </row>
    <row r="114" spans="1:5" ht="15" x14ac:dyDescent="0.25">
      <c r="A114" s="32">
        <v>108</v>
      </c>
      <c r="B114" s="32" t="s">
        <v>47</v>
      </c>
      <c r="C114" s="31" t="s">
        <v>28</v>
      </c>
      <c r="D114" s="33" t="str">
        <f t="shared" si="3"/>
        <v/>
      </c>
      <c r="E114" s="54">
        <v>45862</v>
      </c>
    </row>
    <row r="115" spans="1:5" ht="15" x14ac:dyDescent="0.25">
      <c r="A115" s="32">
        <v>109</v>
      </c>
      <c r="B115" s="32" t="s">
        <v>47</v>
      </c>
      <c r="C115" s="31" t="s">
        <v>28</v>
      </c>
      <c r="D115" s="33" t="str">
        <f t="shared" si="3"/>
        <v/>
      </c>
      <c r="E115" s="54">
        <v>45863</v>
      </c>
    </row>
    <row r="116" spans="1:5" ht="15" x14ac:dyDescent="0.25">
      <c r="A116" s="32">
        <v>110</v>
      </c>
      <c r="B116" s="32">
        <f>SUM(B111+1)</f>
        <v>103</v>
      </c>
      <c r="C116" s="32" t="s">
        <v>29</v>
      </c>
      <c r="D116" s="33" t="str">
        <f t="shared" si="3"/>
        <v xml:space="preserve">DIA LETIVO: Nº </v>
      </c>
      <c r="E116" s="54">
        <v>45866</v>
      </c>
    </row>
    <row r="117" spans="1:5" ht="15" x14ac:dyDescent="0.25">
      <c r="A117" s="32">
        <v>111</v>
      </c>
      <c r="B117" s="32">
        <f t="shared" si="5"/>
        <v>104</v>
      </c>
      <c r="C117" s="32" t="s">
        <v>29</v>
      </c>
      <c r="D117" s="33" t="str">
        <f t="shared" si="3"/>
        <v xml:space="preserve">DIA LETIVO: Nº </v>
      </c>
      <c r="E117" s="54">
        <v>45867</v>
      </c>
    </row>
    <row r="118" spans="1:5" ht="15" x14ac:dyDescent="0.25">
      <c r="A118" s="32">
        <v>112</v>
      </c>
      <c r="B118" s="32">
        <f t="shared" si="5"/>
        <v>105</v>
      </c>
      <c r="C118" s="32" t="s">
        <v>29</v>
      </c>
      <c r="D118" s="33" t="str">
        <f t="shared" si="3"/>
        <v xml:space="preserve">DIA LETIVO: Nº </v>
      </c>
      <c r="E118" s="54">
        <v>45868</v>
      </c>
    </row>
    <row r="119" spans="1:5" ht="15" x14ac:dyDescent="0.25">
      <c r="A119" s="32">
        <v>113</v>
      </c>
      <c r="B119" s="32">
        <f t="shared" si="5"/>
        <v>106</v>
      </c>
      <c r="C119" s="32" t="s">
        <v>29</v>
      </c>
      <c r="D119" s="33" t="str">
        <f t="shared" si="3"/>
        <v xml:space="preserve">DIA LETIVO: Nº </v>
      </c>
      <c r="E119" s="54">
        <v>45869</v>
      </c>
    </row>
    <row r="120" spans="1:5" ht="15" x14ac:dyDescent="0.25">
      <c r="A120" s="32">
        <v>114</v>
      </c>
      <c r="B120" s="32">
        <f t="shared" si="5"/>
        <v>107</v>
      </c>
      <c r="C120" s="32" t="s">
        <v>29</v>
      </c>
      <c r="D120" s="33" t="str">
        <f t="shared" si="3"/>
        <v xml:space="preserve">DIA LETIVO: Nº </v>
      </c>
      <c r="E120" s="54">
        <v>45870</v>
      </c>
    </row>
    <row r="121" spans="1:5" ht="15" x14ac:dyDescent="0.25">
      <c r="A121" s="32">
        <v>115</v>
      </c>
      <c r="B121" s="32">
        <f t="shared" si="5"/>
        <v>108</v>
      </c>
      <c r="C121" s="32" t="s">
        <v>29</v>
      </c>
      <c r="D121" s="33" t="str">
        <f t="shared" si="3"/>
        <v xml:space="preserve">DIA LETIVO: Nº </v>
      </c>
      <c r="E121" s="54">
        <v>45873</v>
      </c>
    </row>
    <row r="122" spans="1:5" ht="15" x14ac:dyDescent="0.25">
      <c r="A122" s="32">
        <v>116</v>
      </c>
      <c r="B122" s="32">
        <f t="shared" si="5"/>
        <v>109</v>
      </c>
      <c r="C122" s="32" t="s">
        <v>29</v>
      </c>
      <c r="D122" s="33" t="str">
        <f t="shared" si="3"/>
        <v xml:space="preserve">DIA LETIVO: Nº </v>
      </c>
      <c r="E122" s="54">
        <v>45874</v>
      </c>
    </row>
    <row r="123" spans="1:5" ht="15" x14ac:dyDescent="0.25">
      <c r="A123" s="32">
        <v>117</v>
      </c>
      <c r="B123" s="32">
        <f t="shared" si="5"/>
        <v>110</v>
      </c>
      <c r="C123" s="32" t="s">
        <v>29</v>
      </c>
      <c r="D123" s="33" t="str">
        <f t="shared" si="3"/>
        <v xml:space="preserve">DIA LETIVO: Nº </v>
      </c>
      <c r="E123" s="54">
        <v>45875</v>
      </c>
    </row>
    <row r="124" spans="1:5" ht="15" x14ac:dyDescent="0.25">
      <c r="A124" s="32">
        <v>118</v>
      </c>
      <c r="B124" s="32">
        <f t="shared" si="5"/>
        <v>111</v>
      </c>
      <c r="C124" s="32" t="s">
        <v>29</v>
      </c>
      <c r="D124" s="33" t="str">
        <f t="shared" si="3"/>
        <v xml:space="preserve">DIA LETIVO: Nº </v>
      </c>
      <c r="E124" s="54">
        <v>45876</v>
      </c>
    </row>
    <row r="125" spans="1:5" ht="15" x14ac:dyDescent="0.25">
      <c r="A125" s="32">
        <v>119</v>
      </c>
      <c r="B125" s="32">
        <f t="shared" si="5"/>
        <v>112</v>
      </c>
      <c r="C125" s="32" t="s">
        <v>29</v>
      </c>
      <c r="D125" s="33" t="str">
        <f t="shared" si="3"/>
        <v xml:space="preserve">DIA LETIVO: Nº </v>
      </c>
      <c r="E125" s="54">
        <v>45877</v>
      </c>
    </row>
    <row r="126" spans="1:5" ht="15" x14ac:dyDescent="0.25">
      <c r="A126" s="32">
        <v>120</v>
      </c>
      <c r="B126" s="32">
        <f t="shared" si="5"/>
        <v>113</v>
      </c>
      <c r="C126" s="32" t="s">
        <v>29</v>
      </c>
      <c r="D126" s="33" t="str">
        <f t="shared" si="3"/>
        <v xml:space="preserve">DIA LETIVO: Nº </v>
      </c>
      <c r="E126" s="54">
        <v>45880</v>
      </c>
    </row>
    <row r="127" spans="1:5" ht="15" x14ac:dyDescent="0.25">
      <c r="A127" s="32">
        <v>121</v>
      </c>
      <c r="B127" s="32">
        <f t="shared" si="5"/>
        <v>114</v>
      </c>
      <c r="C127" s="32" t="s">
        <v>29</v>
      </c>
      <c r="D127" s="33" t="str">
        <f t="shared" si="3"/>
        <v xml:space="preserve">DIA LETIVO: Nº </v>
      </c>
      <c r="E127" s="54">
        <v>45881</v>
      </c>
    </row>
    <row r="128" spans="1:5" ht="15" x14ac:dyDescent="0.25">
      <c r="A128" s="32">
        <v>122</v>
      </c>
      <c r="B128" s="32">
        <f t="shared" si="5"/>
        <v>115</v>
      </c>
      <c r="C128" s="32" t="s">
        <v>29</v>
      </c>
      <c r="D128" s="33" t="str">
        <f t="shared" si="3"/>
        <v xml:space="preserve">DIA LETIVO: Nº </v>
      </c>
      <c r="E128" s="54">
        <v>45882</v>
      </c>
    </row>
    <row r="129" spans="1:5" ht="15" x14ac:dyDescent="0.25">
      <c r="A129" s="32">
        <v>123</v>
      </c>
      <c r="B129" s="32">
        <f t="shared" si="5"/>
        <v>116</v>
      </c>
      <c r="C129" s="32" t="s">
        <v>29</v>
      </c>
      <c r="D129" s="33" t="str">
        <f t="shared" si="3"/>
        <v xml:space="preserve">DIA LETIVO: Nº </v>
      </c>
      <c r="E129" s="54">
        <v>45883</v>
      </c>
    </row>
    <row r="130" spans="1:5" ht="15" x14ac:dyDescent="0.25">
      <c r="A130" s="32">
        <v>124</v>
      </c>
      <c r="B130" s="32">
        <f t="shared" si="5"/>
        <v>117</v>
      </c>
      <c r="C130" s="32" t="s">
        <v>29</v>
      </c>
      <c r="D130" s="33" t="str">
        <f t="shared" si="3"/>
        <v xml:space="preserve">DIA LETIVO: Nº </v>
      </c>
      <c r="E130" s="54">
        <v>45884</v>
      </c>
    </row>
    <row r="131" spans="1:5" ht="15" x14ac:dyDescent="0.25">
      <c r="A131" s="32">
        <v>125</v>
      </c>
      <c r="B131" s="32">
        <f t="shared" si="5"/>
        <v>118</v>
      </c>
      <c r="C131" s="32" t="s">
        <v>29</v>
      </c>
      <c r="D131" s="33" t="str">
        <f t="shared" si="3"/>
        <v xml:space="preserve">DIA LETIVO: Nº </v>
      </c>
      <c r="E131" s="54">
        <v>45887</v>
      </c>
    </row>
    <row r="132" spans="1:5" ht="15" x14ac:dyDescent="0.25">
      <c r="A132" s="32">
        <v>126</v>
      </c>
      <c r="B132" s="32">
        <f t="shared" si="5"/>
        <v>119</v>
      </c>
      <c r="C132" s="32" t="s">
        <v>29</v>
      </c>
      <c r="D132" s="33" t="str">
        <f t="shared" si="3"/>
        <v xml:space="preserve">DIA LETIVO: Nº </v>
      </c>
      <c r="E132" s="54">
        <v>45888</v>
      </c>
    </row>
    <row r="133" spans="1:5" ht="15" x14ac:dyDescent="0.25">
      <c r="A133" s="32">
        <v>127</v>
      </c>
      <c r="B133" s="32">
        <f t="shared" si="5"/>
        <v>120</v>
      </c>
      <c r="C133" s="32" t="s">
        <v>29</v>
      </c>
      <c r="D133" s="33" t="str">
        <f t="shared" ref="D133:D196" si="6">IF(C133="DL","DIA LETIVO: Nº ",IF(C133="DNP", "DIA NÃO PRESENCIAL: ",""))</f>
        <v xml:space="preserve">DIA LETIVO: Nº </v>
      </c>
      <c r="E133" s="54">
        <v>45889</v>
      </c>
    </row>
    <row r="134" spans="1:5" ht="15" x14ac:dyDescent="0.25">
      <c r="A134" s="32">
        <v>128</v>
      </c>
      <c r="B134" s="32">
        <f t="shared" si="5"/>
        <v>121</v>
      </c>
      <c r="C134" s="32" t="s">
        <v>29</v>
      </c>
      <c r="D134" s="33" t="str">
        <f t="shared" si="6"/>
        <v xml:space="preserve">DIA LETIVO: Nº </v>
      </c>
      <c r="E134" s="54">
        <v>45890</v>
      </c>
    </row>
    <row r="135" spans="1:5" ht="15" x14ac:dyDescent="0.25">
      <c r="A135" s="32">
        <v>129</v>
      </c>
      <c r="B135" s="32">
        <f t="shared" si="5"/>
        <v>122</v>
      </c>
      <c r="C135" s="32" t="s">
        <v>29</v>
      </c>
      <c r="D135" s="33" t="str">
        <f t="shared" si="6"/>
        <v xml:space="preserve">DIA LETIVO: Nº </v>
      </c>
      <c r="E135" s="54">
        <v>45891</v>
      </c>
    </row>
    <row r="136" spans="1:5" ht="15" x14ac:dyDescent="0.25">
      <c r="A136" s="32">
        <v>130</v>
      </c>
      <c r="B136" s="32">
        <f t="shared" si="5"/>
        <v>123</v>
      </c>
      <c r="C136" s="32" t="s">
        <v>29</v>
      </c>
      <c r="D136" s="33" t="str">
        <f t="shared" si="6"/>
        <v xml:space="preserve">DIA LETIVO: Nº </v>
      </c>
      <c r="E136" s="54">
        <v>45894</v>
      </c>
    </row>
    <row r="137" spans="1:5" ht="15" x14ac:dyDescent="0.25">
      <c r="A137" s="32">
        <v>131</v>
      </c>
      <c r="B137" s="32">
        <f t="shared" si="5"/>
        <v>124</v>
      </c>
      <c r="C137" s="32" t="s">
        <v>29</v>
      </c>
      <c r="D137" s="33" t="str">
        <f t="shared" si="6"/>
        <v xml:space="preserve">DIA LETIVO: Nº </v>
      </c>
      <c r="E137" s="54">
        <v>45895</v>
      </c>
    </row>
    <row r="138" spans="1:5" ht="15" x14ac:dyDescent="0.25">
      <c r="A138" s="32">
        <v>132</v>
      </c>
      <c r="B138" s="32">
        <f t="shared" si="5"/>
        <v>125</v>
      </c>
      <c r="C138" s="32" t="s">
        <v>29</v>
      </c>
      <c r="D138" s="33" t="str">
        <f t="shared" si="6"/>
        <v xml:space="preserve">DIA LETIVO: Nº </v>
      </c>
      <c r="E138" s="54">
        <v>45896</v>
      </c>
    </row>
    <row r="139" spans="1:5" ht="15" x14ac:dyDescent="0.25">
      <c r="A139" s="32">
        <v>133</v>
      </c>
      <c r="B139" s="32">
        <f t="shared" si="5"/>
        <v>126</v>
      </c>
      <c r="C139" s="32" t="s">
        <v>29</v>
      </c>
      <c r="D139" s="33" t="str">
        <f t="shared" si="6"/>
        <v xml:space="preserve">DIA LETIVO: Nº </v>
      </c>
      <c r="E139" s="54">
        <v>45897</v>
      </c>
    </row>
    <row r="140" spans="1:5" ht="15" x14ac:dyDescent="0.25">
      <c r="A140" s="32">
        <v>134</v>
      </c>
      <c r="B140" s="32">
        <f t="shared" si="5"/>
        <v>127</v>
      </c>
      <c r="C140" s="32" t="s">
        <v>29</v>
      </c>
      <c r="D140" s="33" t="str">
        <f t="shared" si="6"/>
        <v xml:space="preserve">DIA LETIVO: Nº </v>
      </c>
      <c r="E140" s="54">
        <v>45898</v>
      </c>
    </row>
    <row r="141" spans="1:5" ht="15" x14ac:dyDescent="0.25">
      <c r="A141" s="32">
        <v>135</v>
      </c>
      <c r="B141" s="32">
        <f>SUM(B140+1)</f>
        <v>128</v>
      </c>
      <c r="C141" s="32" t="s">
        <v>29</v>
      </c>
      <c r="D141" s="33" t="str">
        <f t="shared" si="6"/>
        <v xml:space="preserve">DIA LETIVO: Nº </v>
      </c>
      <c r="E141" s="54">
        <v>45901</v>
      </c>
    </row>
    <row r="142" spans="1:5" ht="15" x14ac:dyDescent="0.25">
      <c r="A142" s="32">
        <v>136</v>
      </c>
      <c r="B142" s="32">
        <f t="shared" si="5"/>
        <v>129</v>
      </c>
      <c r="C142" s="32" t="s">
        <v>29</v>
      </c>
      <c r="D142" s="33" t="str">
        <f t="shared" si="6"/>
        <v xml:space="preserve">DIA LETIVO: Nº </v>
      </c>
      <c r="E142" s="54">
        <v>45902</v>
      </c>
    </row>
    <row r="143" spans="1:5" ht="15" x14ac:dyDescent="0.25">
      <c r="A143" s="32">
        <v>137</v>
      </c>
      <c r="B143" s="32">
        <f t="shared" si="5"/>
        <v>130</v>
      </c>
      <c r="C143" s="32" t="s">
        <v>29</v>
      </c>
      <c r="D143" s="33" t="str">
        <f t="shared" si="6"/>
        <v xml:space="preserve">DIA LETIVO: Nº </v>
      </c>
      <c r="E143" s="54">
        <v>45903</v>
      </c>
    </row>
    <row r="144" spans="1:5" ht="15" x14ac:dyDescent="0.25">
      <c r="A144" s="32">
        <v>138</v>
      </c>
      <c r="B144" s="32">
        <f t="shared" si="5"/>
        <v>131</v>
      </c>
      <c r="C144" s="32" t="s">
        <v>29</v>
      </c>
      <c r="D144" s="33" t="str">
        <f t="shared" si="6"/>
        <v xml:space="preserve">DIA LETIVO: Nº </v>
      </c>
      <c r="E144" s="54">
        <v>45904</v>
      </c>
    </row>
    <row r="145" spans="1:5" ht="15" x14ac:dyDescent="0.25">
      <c r="A145" s="32">
        <v>139</v>
      </c>
      <c r="B145" s="32" t="s">
        <v>34</v>
      </c>
      <c r="C145" s="32" t="s">
        <v>28</v>
      </c>
      <c r="D145" s="33" t="str">
        <f t="shared" si="6"/>
        <v/>
      </c>
      <c r="E145" s="54">
        <v>45905</v>
      </c>
    </row>
    <row r="146" spans="1:5" ht="15" x14ac:dyDescent="0.25">
      <c r="A146" s="32">
        <v>140</v>
      </c>
      <c r="B146" s="32">
        <f>SUM(B144+1)</f>
        <v>132</v>
      </c>
      <c r="C146" s="32" t="s">
        <v>29</v>
      </c>
      <c r="D146" s="33" t="str">
        <f t="shared" si="6"/>
        <v xml:space="preserve">DIA LETIVO: Nº </v>
      </c>
      <c r="E146" s="54">
        <v>45908</v>
      </c>
    </row>
    <row r="147" spans="1:5" ht="15" x14ac:dyDescent="0.25">
      <c r="A147" s="32">
        <v>141</v>
      </c>
      <c r="B147" s="32">
        <f>SUM(B146+1)</f>
        <v>133</v>
      </c>
      <c r="C147" s="32" t="s">
        <v>29</v>
      </c>
      <c r="D147" s="33" t="str">
        <f t="shared" si="6"/>
        <v xml:space="preserve">DIA LETIVO: Nº </v>
      </c>
      <c r="E147" s="54">
        <v>45909</v>
      </c>
    </row>
    <row r="148" spans="1:5" ht="15" x14ac:dyDescent="0.25">
      <c r="A148" s="32">
        <v>142</v>
      </c>
      <c r="B148" s="32">
        <f>SUM(B147+1)</f>
        <v>134</v>
      </c>
      <c r="C148" s="32" t="s">
        <v>29</v>
      </c>
      <c r="D148" s="33" t="str">
        <f t="shared" si="6"/>
        <v xml:space="preserve">DIA LETIVO: Nº </v>
      </c>
      <c r="E148" s="54">
        <v>45910</v>
      </c>
    </row>
    <row r="149" spans="1:5" ht="15" x14ac:dyDescent="0.25">
      <c r="A149" s="32">
        <v>143</v>
      </c>
      <c r="B149" s="32">
        <f t="shared" si="5"/>
        <v>135</v>
      </c>
      <c r="C149" s="32" t="s">
        <v>29</v>
      </c>
      <c r="D149" s="33" t="str">
        <f t="shared" si="6"/>
        <v xml:space="preserve">DIA LETIVO: Nº </v>
      </c>
      <c r="E149" s="54">
        <v>45911</v>
      </c>
    </row>
    <row r="150" spans="1:5" ht="15" x14ac:dyDescent="0.25">
      <c r="A150" s="32">
        <v>144</v>
      </c>
      <c r="B150" s="32">
        <f t="shared" si="5"/>
        <v>136</v>
      </c>
      <c r="C150" s="32" t="s">
        <v>29</v>
      </c>
      <c r="D150" s="33" t="str">
        <f t="shared" si="6"/>
        <v xml:space="preserve">DIA LETIVO: Nº </v>
      </c>
      <c r="E150" s="54">
        <v>45912</v>
      </c>
    </row>
    <row r="151" spans="1:5" ht="15" x14ac:dyDescent="0.25">
      <c r="A151" s="32">
        <v>145</v>
      </c>
      <c r="B151" s="32">
        <f>SUM(B150+1)</f>
        <v>137</v>
      </c>
      <c r="C151" s="32" t="s">
        <v>29</v>
      </c>
      <c r="D151" s="33" t="str">
        <f t="shared" si="6"/>
        <v xml:space="preserve">DIA LETIVO: Nº </v>
      </c>
      <c r="E151" s="54">
        <v>45915</v>
      </c>
    </row>
    <row r="152" spans="1:5" ht="15" x14ac:dyDescent="0.25">
      <c r="A152" s="32">
        <v>146</v>
      </c>
      <c r="B152" s="32">
        <f>SUM(B151+1)</f>
        <v>138</v>
      </c>
      <c r="C152" s="32" t="s">
        <v>29</v>
      </c>
      <c r="D152" s="33" t="str">
        <f t="shared" si="6"/>
        <v xml:space="preserve">DIA LETIVO: Nº </v>
      </c>
      <c r="E152" s="54">
        <v>45916</v>
      </c>
    </row>
    <row r="153" spans="1:5" ht="15" x14ac:dyDescent="0.25">
      <c r="A153" s="32">
        <v>147</v>
      </c>
      <c r="B153" s="32">
        <f>SUM(B152+1)</f>
        <v>139</v>
      </c>
      <c r="C153" s="32" t="s">
        <v>29</v>
      </c>
      <c r="D153" s="33" t="str">
        <f t="shared" si="6"/>
        <v xml:space="preserve">DIA LETIVO: Nº </v>
      </c>
      <c r="E153" s="54">
        <v>45917</v>
      </c>
    </row>
    <row r="154" spans="1:5" ht="15" x14ac:dyDescent="0.25">
      <c r="A154" s="32">
        <v>148</v>
      </c>
      <c r="B154" s="32">
        <f t="shared" ref="B154:B213" si="7">SUM(B153+1)</f>
        <v>140</v>
      </c>
      <c r="C154" s="32" t="s">
        <v>29</v>
      </c>
      <c r="D154" s="33" t="str">
        <f t="shared" si="6"/>
        <v xml:space="preserve">DIA LETIVO: Nº </v>
      </c>
      <c r="E154" s="54">
        <v>45918</v>
      </c>
    </row>
    <row r="155" spans="1:5" ht="15" x14ac:dyDescent="0.25">
      <c r="A155" s="32">
        <v>149</v>
      </c>
      <c r="B155" s="32">
        <f t="shared" si="7"/>
        <v>141</v>
      </c>
      <c r="C155" s="32" t="s">
        <v>29</v>
      </c>
      <c r="D155" s="33" t="str">
        <f t="shared" si="6"/>
        <v xml:space="preserve">DIA LETIVO: Nº </v>
      </c>
      <c r="E155" s="54">
        <v>45919</v>
      </c>
    </row>
    <row r="156" spans="1:5" ht="15" x14ac:dyDescent="0.25">
      <c r="A156" s="32">
        <v>150</v>
      </c>
      <c r="B156" s="32">
        <f t="shared" si="7"/>
        <v>142</v>
      </c>
      <c r="C156" s="32" t="s">
        <v>29</v>
      </c>
      <c r="D156" s="33" t="str">
        <f t="shared" si="6"/>
        <v xml:space="preserve">DIA LETIVO: Nº </v>
      </c>
      <c r="E156" s="54">
        <v>45922</v>
      </c>
    </row>
    <row r="157" spans="1:5" ht="15" x14ac:dyDescent="0.25">
      <c r="A157" s="32">
        <v>151</v>
      </c>
      <c r="B157" s="32">
        <f t="shared" si="7"/>
        <v>143</v>
      </c>
      <c r="C157" s="32" t="s">
        <v>29</v>
      </c>
      <c r="D157" s="33" t="str">
        <f t="shared" si="6"/>
        <v xml:space="preserve">DIA LETIVO: Nº </v>
      </c>
      <c r="E157" s="54">
        <v>45923</v>
      </c>
    </row>
    <row r="158" spans="1:5" ht="15" x14ac:dyDescent="0.25">
      <c r="A158" s="32">
        <v>152</v>
      </c>
      <c r="B158" s="32">
        <f t="shared" si="7"/>
        <v>144</v>
      </c>
      <c r="C158" s="32" t="s">
        <v>29</v>
      </c>
      <c r="D158" s="33" t="str">
        <f t="shared" si="6"/>
        <v xml:space="preserve">DIA LETIVO: Nº </v>
      </c>
      <c r="E158" s="54">
        <v>45924</v>
      </c>
    </row>
    <row r="159" spans="1:5" ht="15" x14ac:dyDescent="0.25">
      <c r="A159" s="32">
        <v>153</v>
      </c>
      <c r="B159" s="32">
        <f t="shared" si="7"/>
        <v>145</v>
      </c>
      <c r="C159" s="32" t="s">
        <v>29</v>
      </c>
      <c r="D159" s="33" t="str">
        <f t="shared" si="6"/>
        <v xml:space="preserve">DIA LETIVO: Nº </v>
      </c>
      <c r="E159" s="54">
        <v>45925</v>
      </c>
    </row>
    <row r="160" spans="1:5" ht="15" x14ac:dyDescent="0.25">
      <c r="A160" s="32">
        <v>154</v>
      </c>
      <c r="B160" s="32">
        <f t="shared" si="7"/>
        <v>146</v>
      </c>
      <c r="C160" s="32" t="s">
        <v>29</v>
      </c>
      <c r="D160" s="33" t="str">
        <f t="shared" si="6"/>
        <v xml:space="preserve">DIA LETIVO: Nº </v>
      </c>
      <c r="E160" s="54">
        <v>45926</v>
      </c>
    </row>
    <row r="161" spans="1:5" ht="15" x14ac:dyDescent="0.25">
      <c r="A161" s="32">
        <v>155</v>
      </c>
      <c r="B161" s="32">
        <f t="shared" si="7"/>
        <v>147</v>
      </c>
      <c r="C161" s="32" t="s">
        <v>29</v>
      </c>
      <c r="D161" s="33" t="str">
        <f t="shared" si="6"/>
        <v xml:space="preserve">DIA LETIVO: Nº </v>
      </c>
      <c r="E161" s="54">
        <v>45929</v>
      </c>
    </row>
    <row r="162" spans="1:5" ht="15" x14ac:dyDescent="0.25">
      <c r="A162" s="32">
        <v>156</v>
      </c>
      <c r="B162" s="32">
        <f t="shared" si="7"/>
        <v>148</v>
      </c>
      <c r="C162" s="32" t="s">
        <v>29</v>
      </c>
      <c r="D162" s="33" t="str">
        <f t="shared" si="6"/>
        <v xml:space="preserve">DIA LETIVO: Nº </v>
      </c>
      <c r="E162" s="54">
        <v>45930</v>
      </c>
    </row>
    <row r="163" spans="1:5" ht="15" x14ac:dyDescent="0.25">
      <c r="A163" s="32">
        <v>157</v>
      </c>
      <c r="B163" s="32">
        <f t="shared" si="7"/>
        <v>149</v>
      </c>
      <c r="C163" s="32" t="s">
        <v>29</v>
      </c>
      <c r="D163" s="33" t="str">
        <f t="shared" si="6"/>
        <v xml:space="preserve">DIA LETIVO: Nº </v>
      </c>
      <c r="E163" s="54">
        <v>45931</v>
      </c>
    </row>
    <row r="164" spans="1:5" ht="15" x14ac:dyDescent="0.25">
      <c r="A164" s="32">
        <v>158</v>
      </c>
      <c r="B164" s="32">
        <f t="shared" si="7"/>
        <v>150</v>
      </c>
      <c r="C164" s="32" t="s">
        <v>29</v>
      </c>
      <c r="D164" s="33" t="str">
        <f t="shared" si="6"/>
        <v xml:space="preserve">DIA LETIVO: Nº </v>
      </c>
      <c r="E164" s="54">
        <v>45932</v>
      </c>
    </row>
    <row r="165" spans="1:5" ht="15" x14ac:dyDescent="0.25">
      <c r="A165" s="32">
        <v>159</v>
      </c>
      <c r="B165" s="32">
        <f t="shared" si="7"/>
        <v>151</v>
      </c>
      <c r="C165" s="32" t="s">
        <v>29</v>
      </c>
      <c r="D165" s="33" t="str">
        <f t="shared" si="6"/>
        <v xml:space="preserve">DIA LETIVO: Nº </v>
      </c>
      <c r="E165" s="54">
        <v>45933</v>
      </c>
    </row>
    <row r="166" spans="1:5" ht="15" x14ac:dyDescent="0.25">
      <c r="A166" s="32">
        <v>160</v>
      </c>
      <c r="B166" s="32">
        <f t="shared" si="7"/>
        <v>152</v>
      </c>
      <c r="C166" s="32" t="s">
        <v>29</v>
      </c>
      <c r="D166" s="33" t="str">
        <f t="shared" si="6"/>
        <v xml:space="preserve">DIA LETIVO: Nº </v>
      </c>
      <c r="E166" s="54">
        <v>45936</v>
      </c>
    </row>
    <row r="167" spans="1:5" ht="15" x14ac:dyDescent="0.25">
      <c r="A167" s="32">
        <v>161</v>
      </c>
      <c r="B167" s="32">
        <f t="shared" si="7"/>
        <v>153</v>
      </c>
      <c r="C167" s="32" t="s">
        <v>29</v>
      </c>
      <c r="D167" s="33" t="str">
        <f t="shared" si="6"/>
        <v xml:space="preserve">DIA LETIVO: Nº </v>
      </c>
      <c r="E167" s="54">
        <v>45937</v>
      </c>
    </row>
    <row r="168" spans="1:5" ht="15" x14ac:dyDescent="0.25">
      <c r="A168" s="32">
        <v>162</v>
      </c>
      <c r="B168" s="32">
        <f t="shared" si="7"/>
        <v>154</v>
      </c>
      <c r="C168" s="32" t="s">
        <v>29</v>
      </c>
      <c r="D168" s="33" t="str">
        <f t="shared" si="6"/>
        <v xml:space="preserve">DIA LETIVO: Nº </v>
      </c>
      <c r="E168" s="54">
        <v>45938</v>
      </c>
    </row>
    <row r="169" spans="1:5" ht="15" x14ac:dyDescent="0.25">
      <c r="A169" s="32">
        <v>163</v>
      </c>
      <c r="B169" s="32">
        <f t="shared" si="7"/>
        <v>155</v>
      </c>
      <c r="C169" s="32" t="s">
        <v>29</v>
      </c>
      <c r="D169" s="33" t="str">
        <f t="shared" si="6"/>
        <v xml:space="preserve">DIA LETIVO: Nº </v>
      </c>
      <c r="E169" s="54">
        <v>45939</v>
      </c>
    </row>
    <row r="170" spans="1:5" ht="15" x14ac:dyDescent="0.25">
      <c r="A170" s="32">
        <v>164</v>
      </c>
      <c r="B170" s="32">
        <f t="shared" si="7"/>
        <v>156</v>
      </c>
      <c r="C170" s="32" t="s">
        <v>29</v>
      </c>
      <c r="D170" s="33" t="str">
        <f t="shared" si="6"/>
        <v xml:space="preserve">DIA LETIVO: Nº </v>
      </c>
      <c r="E170" s="54">
        <v>45940</v>
      </c>
    </row>
    <row r="171" spans="1:5" ht="15" x14ac:dyDescent="0.25">
      <c r="A171" s="32">
        <v>165</v>
      </c>
      <c r="B171" s="32">
        <f>SUM(B170+1)</f>
        <v>157</v>
      </c>
      <c r="C171" s="32" t="s">
        <v>29</v>
      </c>
      <c r="D171" s="33" t="str">
        <f t="shared" si="6"/>
        <v xml:space="preserve">DIA LETIVO: Nº </v>
      </c>
      <c r="E171" s="54">
        <v>45943</v>
      </c>
    </row>
    <row r="172" spans="1:5" ht="15" x14ac:dyDescent="0.25">
      <c r="A172" s="32">
        <v>166</v>
      </c>
      <c r="B172" s="32">
        <f>SUM(B171+1)</f>
        <v>158</v>
      </c>
      <c r="C172" s="32" t="s">
        <v>29</v>
      </c>
      <c r="D172" s="33" t="str">
        <f t="shared" si="6"/>
        <v xml:space="preserve">DIA LETIVO: Nº </v>
      </c>
      <c r="E172" s="54">
        <v>45944</v>
      </c>
    </row>
    <row r="173" spans="1:5" ht="15" x14ac:dyDescent="0.25">
      <c r="A173" s="32">
        <v>167</v>
      </c>
      <c r="B173" s="32">
        <f t="shared" si="7"/>
        <v>159</v>
      </c>
      <c r="C173" s="32" t="s">
        <v>29</v>
      </c>
      <c r="D173" s="33" t="str">
        <f t="shared" si="6"/>
        <v xml:space="preserve">DIA LETIVO: Nº </v>
      </c>
      <c r="E173" s="54">
        <v>45946</v>
      </c>
    </row>
    <row r="174" spans="1:5" ht="15" x14ac:dyDescent="0.25">
      <c r="A174" s="32">
        <v>168</v>
      </c>
      <c r="B174" s="32">
        <f t="shared" si="7"/>
        <v>160</v>
      </c>
      <c r="C174" s="32" t="s">
        <v>29</v>
      </c>
      <c r="D174" s="33" t="str">
        <f t="shared" si="6"/>
        <v xml:space="preserve">DIA LETIVO: Nº </v>
      </c>
      <c r="E174" s="54">
        <v>45947</v>
      </c>
    </row>
    <row r="175" spans="1:5" ht="15" x14ac:dyDescent="0.25">
      <c r="A175" s="32">
        <v>169</v>
      </c>
      <c r="B175" s="32">
        <f t="shared" si="7"/>
        <v>161</v>
      </c>
      <c r="C175" s="32" t="s">
        <v>29</v>
      </c>
      <c r="D175" s="33" t="str">
        <f t="shared" si="6"/>
        <v xml:space="preserve">DIA LETIVO: Nº </v>
      </c>
      <c r="E175" s="54">
        <v>45950</v>
      </c>
    </row>
    <row r="176" spans="1:5" ht="15" x14ac:dyDescent="0.25">
      <c r="A176" s="32">
        <v>170</v>
      </c>
      <c r="B176" s="32">
        <f t="shared" si="7"/>
        <v>162</v>
      </c>
      <c r="C176" s="32" t="s">
        <v>29</v>
      </c>
      <c r="D176" s="33" t="str">
        <f t="shared" si="6"/>
        <v xml:space="preserve">DIA LETIVO: Nº </v>
      </c>
      <c r="E176" s="54">
        <v>45951</v>
      </c>
    </row>
    <row r="177" spans="1:5" ht="15" x14ac:dyDescent="0.25">
      <c r="A177" s="32">
        <v>171</v>
      </c>
      <c r="B177" s="32">
        <f t="shared" si="7"/>
        <v>163</v>
      </c>
      <c r="C177" s="32" t="s">
        <v>29</v>
      </c>
      <c r="D177" s="33" t="str">
        <f t="shared" si="6"/>
        <v xml:space="preserve">DIA LETIVO: Nº </v>
      </c>
      <c r="E177" s="54">
        <v>45952</v>
      </c>
    </row>
    <row r="178" spans="1:5" ht="15" x14ac:dyDescent="0.25">
      <c r="A178" s="32">
        <v>172</v>
      </c>
      <c r="B178" s="32">
        <f t="shared" si="7"/>
        <v>164</v>
      </c>
      <c r="C178" s="32" t="s">
        <v>29</v>
      </c>
      <c r="D178" s="33" t="str">
        <f t="shared" si="6"/>
        <v xml:space="preserve">DIA LETIVO: Nº </v>
      </c>
      <c r="E178" s="54">
        <v>45953</v>
      </c>
    </row>
    <row r="179" spans="1:5" ht="15" x14ac:dyDescent="0.25">
      <c r="A179" s="32">
        <v>173</v>
      </c>
      <c r="B179" s="32">
        <f t="shared" si="7"/>
        <v>165</v>
      </c>
      <c r="C179" s="32" t="s">
        <v>29</v>
      </c>
      <c r="D179" s="33" t="str">
        <f t="shared" si="6"/>
        <v xml:space="preserve">DIA LETIVO: Nº </v>
      </c>
      <c r="E179" s="54">
        <v>45954</v>
      </c>
    </row>
    <row r="180" spans="1:5" ht="15" x14ac:dyDescent="0.25">
      <c r="A180" s="32">
        <v>174</v>
      </c>
      <c r="B180" s="32">
        <f t="shared" si="7"/>
        <v>166</v>
      </c>
      <c r="C180" s="32" t="s">
        <v>29</v>
      </c>
      <c r="D180" s="33" t="str">
        <f t="shared" si="6"/>
        <v xml:space="preserve">DIA LETIVO: Nº </v>
      </c>
      <c r="E180" s="54">
        <v>45957</v>
      </c>
    </row>
    <row r="181" spans="1:5" ht="15" x14ac:dyDescent="0.25">
      <c r="A181" s="32">
        <v>175</v>
      </c>
      <c r="B181" s="32">
        <f t="shared" si="7"/>
        <v>167</v>
      </c>
      <c r="C181" s="32" t="s">
        <v>29</v>
      </c>
      <c r="D181" s="33" t="str">
        <f t="shared" si="6"/>
        <v xml:space="preserve">DIA LETIVO: Nº </v>
      </c>
      <c r="E181" s="54">
        <v>45958</v>
      </c>
    </row>
    <row r="182" spans="1:5" ht="15" x14ac:dyDescent="0.25">
      <c r="A182" s="32">
        <v>176</v>
      </c>
      <c r="B182" s="32">
        <f>SUM(B181+1)</f>
        <v>168</v>
      </c>
      <c r="C182" s="32" t="s">
        <v>29</v>
      </c>
      <c r="D182" s="33" t="str">
        <f t="shared" si="6"/>
        <v xml:space="preserve">DIA LETIVO: Nº </v>
      </c>
      <c r="E182" s="54">
        <v>45959</v>
      </c>
    </row>
    <row r="183" spans="1:5" ht="15" x14ac:dyDescent="0.25">
      <c r="A183" s="32">
        <v>177</v>
      </c>
      <c r="B183" s="32">
        <f>SUM(B182+1)</f>
        <v>169</v>
      </c>
      <c r="C183" s="32" t="s">
        <v>29</v>
      </c>
      <c r="D183" s="33" t="str">
        <f t="shared" si="6"/>
        <v xml:space="preserve">DIA LETIVO: Nº </v>
      </c>
      <c r="E183" s="54">
        <v>45960</v>
      </c>
    </row>
    <row r="184" spans="1:5" ht="15" x14ac:dyDescent="0.25">
      <c r="A184" s="32">
        <v>178</v>
      </c>
      <c r="B184" s="32">
        <f t="shared" si="7"/>
        <v>170</v>
      </c>
      <c r="C184" s="32" t="s">
        <v>29</v>
      </c>
      <c r="D184" s="33" t="str">
        <f t="shared" si="6"/>
        <v xml:space="preserve">DIA LETIVO: Nº </v>
      </c>
      <c r="E184" s="54">
        <v>45961</v>
      </c>
    </row>
    <row r="185" spans="1:5" ht="15" x14ac:dyDescent="0.25">
      <c r="A185" s="32">
        <v>179</v>
      </c>
      <c r="B185" s="32">
        <f t="shared" si="7"/>
        <v>171</v>
      </c>
      <c r="C185" s="32" t="s">
        <v>29</v>
      </c>
      <c r="D185" s="33" t="str">
        <f t="shared" si="6"/>
        <v xml:space="preserve">DIA LETIVO: Nº </v>
      </c>
      <c r="E185" s="54">
        <v>45964</v>
      </c>
    </row>
    <row r="186" spans="1:5" ht="15" x14ac:dyDescent="0.25">
      <c r="A186" s="32">
        <v>180</v>
      </c>
      <c r="B186" s="32">
        <f t="shared" si="7"/>
        <v>172</v>
      </c>
      <c r="C186" s="32" t="s">
        <v>29</v>
      </c>
      <c r="D186" s="33" t="str">
        <f t="shared" si="6"/>
        <v xml:space="preserve">DIA LETIVO: Nº </v>
      </c>
      <c r="E186" s="54">
        <v>45965</v>
      </c>
    </row>
    <row r="187" spans="1:5" ht="15" x14ac:dyDescent="0.25">
      <c r="A187" s="32">
        <v>181</v>
      </c>
      <c r="B187" s="32">
        <f t="shared" si="7"/>
        <v>173</v>
      </c>
      <c r="C187" s="32" t="s">
        <v>29</v>
      </c>
      <c r="D187" s="33" t="str">
        <f t="shared" si="6"/>
        <v xml:space="preserve">DIA LETIVO: Nº </v>
      </c>
      <c r="E187" s="54">
        <v>45966</v>
      </c>
    </row>
    <row r="188" spans="1:5" ht="15" x14ac:dyDescent="0.25">
      <c r="A188" s="32">
        <v>182</v>
      </c>
      <c r="B188" s="32">
        <f t="shared" si="7"/>
        <v>174</v>
      </c>
      <c r="C188" s="32" t="s">
        <v>29</v>
      </c>
      <c r="D188" s="33" t="str">
        <f t="shared" si="6"/>
        <v xml:space="preserve">DIA LETIVO: Nº </v>
      </c>
      <c r="E188" s="54">
        <v>45967</v>
      </c>
    </row>
    <row r="189" spans="1:5" ht="15" x14ac:dyDescent="0.25">
      <c r="A189" s="32">
        <v>183</v>
      </c>
      <c r="B189" s="32">
        <f t="shared" si="7"/>
        <v>175</v>
      </c>
      <c r="C189" s="32" t="s">
        <v>29</v>
      </c>
      <c r="D189" s="33" t="str">
        <f t="shared" si="6"/>
        <v xml:space="preserve">DIA LETIVO: Nº </v>
      </c>
      <c r="E189" s="54">
        <v>45968</v>
      </c>
    </row>
    <row r="190" spans="1:5" ht="15" x14ac:dyDescent="0.25">
      <c r="A190" s="32">
        <v>184</v>
      </c>
      <c r="B190" s="32">
        <f t="shared" si="7"/>
        <v>176</v>
      </c>
      <c r="C190" s="32" t="s">
        <v>29</v>
      </c>
      <c r="D190" s="33" t="str">
        <f t="shared" si="6"/>
        <v xml:space="preserve">DIA LETIVO: Nº </v>
      </c>
      <c r="E190" s="54">
        <v>45971</v>
      </c>
    </row>
    <row r="191" spans="1:5" ht="15" x14ac:dyDescent="0.25">
      <c r="A191" s="32">
        <v>185</v>
      </c>
      <c r="B191" s="32">
        <f t="shared" si="7"/>
        <v>177</v>
      </c>
      <c r="C191" s="32" t="s">
        <v>29</v>
      </c>
      <c r="D191" s="33" t="str">
        <f t="shared" si="6"/>
        <v xml:space="preserve">DIA LETIVO: Nº </v>
      </c>
      <c r="E191" s="54">
        <v>45972</v>
      </c>
    </row>
    <row r="192" spans="1:5" ht="15" x14ac:dyDescent="0.25">
      <c r="A192" s="32">
        <v>186</v>
      </c>
      <c r="B192" s="32">
        <f>SUM(B191+1)</f>
        <v>178</v>
      </c>
      <c r="C192" s="32" t="s">
        <v>29</v>
      </c>
      <c r="D192" s="33" t="str">
        <f t="shared" si="6"/>
        <v xml:space="preserve">DIA LETIVO: Nº </v>
      </c>
      <c r="E192" s="54">
        <v>45973</v>
      </c>
    </row>
    <row r="193" spans="1:5" ht="15" x14ac:dyDescent="0.25">
      <c r="A193" s="32">
        <v>187</v>
      </c>
      <c r="B193" s="32">
        <f t="shared" si="7"/>
        <v>179</v>
      </c>
      <c r="C193" s="32" t="s">
        <v>29</v>
      </c>
      <c r="D193" s="33" t="str">
        <f t="shared" si="6"/>
        <v xml:space="preserve">DIA LETIVO: Nº </v>
      </c>
      <c r="E193" s="54">
        <v>45974</v>
      </c>
    </row>
    <row r="194" spans="1:5" ht="15" x14ac:dyDescent="0.25">
      <c r="A194" s="32">
        <v>188</v>
      </c>
      <c r="B194" s="32">
        <f t="shared" si="7"/>
        <v>180</v>
      </c>
      <c r="C194" s="32" t="s">
        <v>29</v>
      </c>
      <c r="D194" s="33" t="str">
        <f t="shared" si="6"/>
        <v xml:space="preserve">DIA LETIVO: Nº </v>
      </c>
      <c r="E194" s="54">
        <v>45975</v>
      </c>
    </row>
    <row r="195" spans="1:5" ht="15" x14ac:dyDescent="0.25">
      <c r="A195" s="32">
        <v>189</v>
      </c>
      <c r="B195" s="32">
        <f t="shared" si="7"/>
        <v>181</v>
      </c>
      <c r="C195" s="32" t="s">
        <v>29</v>
      </c>
      <c r="D195" s="33" t="str">
        <f t="shared" si="6"/>
        <v xml:space="preserve">DIA LETIVO: Nº </v>
      </c>
      <c r="E195" s="54">
        <v>45978</v>
      </c>
    </row>
    <row r="196" spans="1:5" ht="15" x14ac:dyDescent="0.25">
      <c r="A196" s="32">
        <v>190</v>
      </c>
      <c r="B196" s="32">
        <f t="shared" si="7"/>
        <v>182</v>
      </c>
      <c r="C196" s="32" t="s">
        <v>29</v>
      </c>
      <c r="D196" s="33" t="str">
        <f t="shared" si="6"/>
        <v xml:space="preserve">DIA LETIVO: Nº </v>
      </c>
      <c r="E196" s="54">
        <v>45979</v>
      </c>
    </row>
    <row r="197" spans="1:5" ht="15" x14ac:dyDescent="0.25">
      <c r="A197" s="32">
        <v>191</v>
      </c>
      <c r="B197" s="32">
        <f t="shared" si="7"/>
        <v>183</v>
      </c>
      <c r="C197" s="32" t="s">
        <v>29</v>
      </c>
      <c r="D197" s="33" t="str">
        <f t="shared" ref="D197:D220" si="8">IF(C197="DL","DIA LETIVO: Nº ",IF(C197="DNP", "DIA NÃO PRESENCIAL: ",""))</f>
        <v xml:space="preserve">DIA LETIVO: Nº </v>
      </c>
      <c r="E197" s="54">
        <v>45980</v>
      </c>
    </row>
    <row r="198" spans="1:5" ht="15" x14ac:dyDescent="0.25">
      <c r="A198" s="32">
        <v>192</v>
      </c>
      <c r="B198" s="32">
        <f t="shared" si="7"/>
        <v>184</v>
      </c>
      <c r="C198" s="32" t="s">
        <v>29</v>
      </c>
      <c r="D198" s="33" t="str">
        <f t="shared" si="8"/>
        <v xml:space="preserve">DIA LETIVO: Nº </v>
      </c>
      <c r="E198" s="54">
        <v>45985</v>
      </c>
    </row>
    <row r="199" spans="1:5" ht="15" x14ac:dyDescent="0.25">
      <c r="A199" s="32">
        <v>193</v>
      </c>
      <c r="B199" s="32">
        <f t="shared" si="7"/>
        <v>185</v>
      </c>
      <c r="C199" s="32" t="s">
        <v>29</v>
      </c>
      <c r="D199" s="33" t="str">
        <f t="shared" si="8"/>
        <v xml:space="preserve">DIA LETIVO: Nº </v>
      </c>
      <c r="E199" s="54">
        <v>45986</v>
      </c>
    </row>
    <row r="200" spans="1:5" ht="15" x14ac:dyDescent="0.25">
      <c r="A200" s="32">
        <v>194</v>
      </c>
      <c r="B200" s="32">
        <f t="shared" si="7"/>
        <v>186</v>
      </c>
      <c r="C200" s="32" t="s">
        <v>29</v>
      </c>
      <c r="D200" s="33" t="str">
        <f t="shared" si="8"/>
        <v xml:space="preserve">DIA LETIVO: Nº </v>
      </c>
      <c r="E200" s="54">
        <v>45987</v>
      </c>
    </row>
    <row r="201" spans="1:5" ht="15" x14ac:dyDescent="0.25">
      <c r="A201" s="32">
        <v>195</v>
      </c>
      <c r="B201" s="32">
        <f t="shared" si="7"/>
        <v>187</v>
      </c>
      <c r="C201" s="32" t="s">
        <v>29</v>
      </c>
      <c r="D201" s="33" t="str">
        <f t="shared" si="8"/>
        <v xml:space="preserve">DIA LETIVO: Nº </v>
      </c>
      <c r="E201" s="54">
        <v>45988</v>
      </c>
    </row>
    <row r="202" spans="1:5" ht="15" x14ac:dyDescent="0.25">
      <c r="A202" s="32">
        <v>196</v>
      </c>
      <c r="B202" s="32">
        <f t="shared" si="7"/>
        <v>188</v>
      </c>
      <c r="C202" s="32" t="s">
        <v>29</v>
      </c>
      <c r="D202" s="33" t="str">
        <f t="shared" si="8"/>
        <v xml:space="preserve">DIA LETIVO: Nº </v>
      </c>
      <c r="E202" s="54">
        <v>45989</v>
      </c>
    </row>
    <row r="203" spans="1:5" ht="15" x14ac:dyDescent="0.25">
      <c r="A203" s="32">
        <v>197</v>
      </c>
      <c r="B203" s="32">
        <f t="shared" si="7"/>
        <v>189</v>
      </c>
      <c r="C203" s="32" t="s">
        <v>29</v>
      </c>
      <c r="D203" s="33" t="str">
        <f t="shared" si="8"/>
        <v xml:space="preserve">DIA LETIVO: Nº </v>
      </c>
      <c r="E203" s="54">
        <v>45992</v>
      </c>
    </row>
    <row r="204" spans="1:5" ht="15" x14ac:dyDescent="0.25">
      <c r="A204" s="32">
        <v>198</v>
      </c>
      <c r="B204" s="32">
        <f t="shared" si="7"/>
        <v>190</v>
      </c>
      <c r="C204" s="32" t="s">
        <v>29</v>
      </c>
      <c r="D204" s="33" t="str">
        <f t="shared" si="8"/>
        <v xml:space="preserve">DIA LETIVO: Nº </v>
      </c>
      <c r="E204" s="54">
        <v>45993</v>
      </c>
    </row>
    <row r="205" spans="1:5" ht="15" x14ac:dyDescent="0.25">
      <c r="A205" s="32">
        <v>199</v>
      </c>
      <c r="B205" s="32">
        <f t="shared" si="7"/>
        <v>191</v>
      </c>
      <c r="C205" s="32" t="s">
        <v>29</v>
      </c>
      <c r="D205" s="33" t="str">
        <f t="shared" si="8"/>
        <v xml:space="preserve">DIA LETIVO: Nº </v>
      </c>
      <c r="E205" s="54">
        <v>45994</v>
      </c>
    </row>
    <row r="206" spans="1:5" ht="15" x14ac:dyDescent="0.25">
      <c r="A206" s="32">
        <v>200</v>
      </c>
      <c r="B206" s="32">
        <f t="shared" si="7"/>
        <v>192</v>
      </c>
      <c r="C206" s="32" t="s">
        <v>29</v>
      </c>
      <c r="D206" s="33" t="str">
        <f t="shared" si="8"/>
        <v xml:space="preserve">DIA LETIVO: Nº </v>
      </c>
      <c r="E206" s="54">
        <v>45995</v>
      </c>
    </row>
    <row r="207" spans="1:5" ht="15" x14ac:dyDescent="0.25">
      <c r="A207" s="32">
        <v>201</v>
      </c>
      <c r="B207" s="32">
        <f t="shared" si="7"/>
        <v>193</v>
      </c>
      <c r="C207" s="32" t="s">
        <v>29</v>
      </c>
      <c r="D207" s="33" t="str">
        <f t="shared" si="8"/>
        <v xml:space="preserve">DIA LETIVO: Nº </v>
      </c>
      <c r="E207" s="54">
        <v>45996</v>
      </c>
    </row>
    <row r="208" spans="1:5" ht="15" x14ac:dyDescent="0.25">
      <c r="A208" s="32">
        <v>202</v>
      </c>
      <c r="B208" s="32">
        <f t="shared" si="7"/>
        <v>194</v>
      </c>
      <c r="C208" s="32" t="s">
        <v>29</v>
      </c>
      <c r="D208" s="33" t="str">
        <f t="shared" si="8"/>
        <v xml:space="preserve">DIA LETIVO: Nº </v>
      </c>
      <c r="E208" s="54">
        <v>45999</v>
      </c>
    </row>
    <row r="209" spans="1:5" ht="15" x14ac:dyDescent="0.25">
      <c r="A209" s="32">
        <v>203</v>
      </c>
      <c r="B209" s="32">
        <f t="shared" si="7"/>
        <v>195</v>
      </c>
      <c r="C209" s="32" t="s">
        <v>29</v>
      </c>
      <c r="D209" s="33" t="str">
        <f t="shared" si="8"/>
        <v xml:space="preserve">DIA LETIVO: Nº </v>
      </c>
      <c r="E209" s="54">
        <v>46000</v>
      </c>
    </row>
    <row r="210" spans="1:5" ht="15" x14ac:dyDescent="0.25">
      <c r="A210" s="32">
        <v>204</v>
      </c>
      <c r="B210" s="32">
        <f t="shared" si="7"/>
        <v>196</v>
      </c>
      <c r="C210" s="32" t="s">
        <v>29</v>
      </c>
      <c r="D210" s="33" t="str">
        <f t="shared" si="8"/>
        <v xml:space="preserve">DIA LETIVO: Nº </v>
      </c>
      <c r="E210" s="54">
        <v>46001</v>
      </c>
    </row>
    <row r="211" spans="1:5" ht="15" x14ac:dyDescent="0.25">
      <c r="A211" s="32">
        <v>205</v>
      </c>
      <c r="B211" s="32">
        <f t="shared" si="7"/>
        <v>197</v>
      </c>
      <c r="C211" s="32" t="s">
        <v>29</v>
      </c>
      <c r="D211" s="33" t="str">
        <f t="shared" si="8"/>
        <v xml:space="preserve">DIA LETIVO: Nº </v>
      </c>
      <c r="E211" s="54">
        <v>46002</v>
      </c>
    </row>
    <row r="212" spans="1:5" ht="15" x14ac:dyDescent="0.25">
      <c r="A212" s="32">
        <v>206</v>
      </c>
      <c r="B212" s="32">
        <f t="shared" si="7"/>
        <v>198</v>
      </c>
      <c r="C212" s="32" t="s">
        <v>29</v>
      </c>
      <c r="D212" s="33" t="str">
        <f t="shared" si="8"/>
        <v xml:space="preserve">DIA LETIVO: Nº </v>
      </c>
      <c r="E212" s="54">
        <v>46003</v>
      </c>
    </row>
    <row r="213" spans="1:5" ht="15" x14ac:dyDescent="0.25">
      <c r="A213" s="32">
        <v>207</v>
      </c>
      <c r="B213" s="32">
        <f t="shared" si="7"/>
        <v>199</v>
      </c>
      <c r="C213" s="32" t="s">
        <v>29</v>
      </c>
      <c r="D213" s="33" t="str">
        <f t="shared" si="8"/>
        <v xml:space="preserve">DIA LETIVO: Nº </v>
      </c>
      <c r="E213" s="54">
        <v>46006</v>
      </c>
    </row>
    <row r="214" spans="1:5" ht="15" x14ac:dyDescent="0.25">
      <c r="A214" s="32">
        <v>208</v>
      </c>
      <c r="B214" s="58">
        <f>SUM(B213+1)</f>
        <v>200</v>
      </c>
      <c r="C214" s="32" t="s">
        <v>29</v>
      </c>
      <c r="D214" s="33" t="str">
        <f>IF(C214="DL","DIA LETIVO: ",IF(C214="DNP", "DIA NÃO PRESENCIAL: ",""))</f>
        <v xml:space="preserve">DIA LETIVO: </v>
      </c>
      <c r="E214" s="54">
        <v>46007</v>
      </c>
    </row>
    <row r="215" spans="1:5" ht="15" x14ac:dyDescent="0.25">
      <c r="A215" s="32">
        <v>209</v>
      </c>
      <c r="B215" s="32" t="s">
        <v>35</v>
      </c>
      <c r="C215" s="32" t="s">
        <v>28</v>
      </c>
      <c r="D215" s="33" t="str">
        <f t="shared" si="8"/>
        <v/>
      </c>
      <c r="E215" s="54">
        <v>46008</v>
      </c>
    </row>
    <row r="216" spans="1:5" ht="15" x14ac:dyDescent="0.25">
      <c r="A216" s="32">
        <v>210</v>
      </c>
      <c r="B216" s="58" t="s">
        <v>45</v>
      </c>
      <c r="C216" s="32" t="s">
        <v>28</v>
      </c>
      <c r="D216" s="33" t="str">
        <f t="shared" si="8"/>
        <v/>
      </c>
      <c r="E216" s="54">
        <v>46009</v>
      </c>
    </row>
    <row r="217" spans="1:5" ht="15" x14ac:dyDescent="0.25">
      <c r="A217" s="32">
        <v>211</v>
      </c>
      <c r="B217" s="58" t="s">
        <v>45</v>
      </c>
      <c r="C217" s="32" t="s">
        <v>28</v>
      </c>
      <c r="D217" s="33" t="str">
        <f t="shared" si="8"/>
        <v/>
      </c>
      <c r="E217" s="54">
        <v>46010</v>
      </c>
    </row>
    <row r="218" spans="1:5" ht="15" x14ac:dyDescent="0.25">
      <c r="A218" s="32">
        <v>212</v>
      </c>
      <c r="B218" s="58" t="s">
        <v>45</v>
      </c>
      <c r="C218" s="32" t="s">
        <v>28</v>
      </c>
      <c r="D218" s="33" t="str">
        <f t="shared" si="8"/>
        <v/>
      </c>
      <c r="E218" s="54">
        <v>46013</v>
      </c>
    </row>
    <row r="219" spans="1:5" ht="15" x14ac:dyDescent="0.25">
      <c r="A219" s="32">
        <v>213</v>
      </c>
      <c r="B219" s="32" t="s">
        <v>36</v>
      </c>
      <c r="C219" s="32" t="s">
        <v>28</v>
      </c>
      <c r="D219" s="33" t="str">
        <f t="shared" si="8"/>
        <v/>
      </c>
      <c r="E219" s="54">
        <v>46014</v>
      </c>
    </row>
    <row r="220" spans="1:5" ht="15" x14ac:dyDescent="0.25">
      <c r="A220" s="32">
        <v>214</v>
      </c>
      <c r="B220" s="32" t="s">
        <v>46</v>
      </c>
      <c r="C220" s="32" t="s">
        <v>28</v>
      </c>
      <c r="D220" s="33" t="str">
        <f t="shared" si="8"/>
        <v/>
      </c>
      <c r="E220" s="54">
        <v>46017</v>
      </c>
    </row>
    <row r="221" spans="1:5" ht="15" x14ac:dyDescent="0.25">
      <c r="A221" s="32"/>
      <c r="B221" s="32"/>
      <c r="C221" s="32"/>
      <c r="D221" s="33"/>
      <c r="E221" s="54"/>
    </row>
    <row r="222" spans="1:5" ht="15" x14ac:dyDescent="0.25"/>
    <row r="223" spans="1:5" ht="15" x14ac:dyDescent="0.25"/>
    <row r="224" spans="1:5" ht="15" x14ac:dyDescent="0.25"/>
    <row r="225" ht="15" x14ac:dyDescent="0.25"/>
    <row r="226" ht="15" x14ac:dyDescent="0.25"/>
    <row r="227" ht="15" x14ac:dyDescent="0.25"/>
    <row r="228" ht="15" x14ac:dyDescent="0.25"/>
    <row r="229" ht="15" x14ac:dyDescent="0.25"/>
    <row r="230" ht="15" x14ac:dyDescent="0.25"/>
    <row r="231" ht="15" x14ac:dyDescent="0.25"/>
    <row r="232" ht="15" x14ac:dyDescent="0.25"/>
    <row r="233" ht="15" x14ac:dyDescent="0.25"/>
    <row r="234" ht="15" x14ac:dyDescent="0.25"/>
    <row r="235" ht="15" x14ac:dyDescent="0.25"/>
    <row r="236" ht="15" x14ac:dyDescent="0.25"/>
    <row r="237" ht="15" x14ac:dyDescent="0.25"/>
    <row r="238" ht="15" x14ac:dyDescent="0.25"/>
    <row r="239" ht="15" x14ac:dyDescent="0.25"/>
    <row r="240" ht="15" x14ac:dyDescent="0.25"/>
    <row r="241" ht="15" x14ac:dyDescent="0.25"/>
    <row r="242" ht="15" x14ac:dyDescent="0.25"/>
    <row r="243" ht="15" x14ac:dyDescent="0.25"/>
    <row r="244" ht="15" x14ac:dyDescent="0.25"/>
    <row r="245" ht="15" x14ac:dyDescent="0.25"/>
    <row r="246" ht="15" x14ac:dyDescent="0.25"/>
    <row r="247" ht="35.25" customHeight="1" x14ac:dyDescent="0.25"/>
    <row r="248" ht="35.25" customHeight="1" x14ac:dyDescent="0.25"/>
    <row r="249" ht="35.25" customHeight="1" x14ac:dyDescent="0.25"/>
    <row r="250" ht="35.25" customHeight="1" x14ac:dyDescent="0.25"/>
    <row r="251" ht="35.25" customHeight="1" x14ac:dyDescent="0.25"/>
    <row r="252" ht="35.25" customHeight="1" x14ac:dyDescent="0.25"/>
    <row r="253" ht="35.25" customHeight="1" x14ac:dyDescent="0.25"/>
    <row r="254" ht="35.25" customHeight="1" x14ac:dyDescent="0.25"/>
    <row r="255" ht="35.25" customHeight="1" x14ac:dyDescent="0.25"/>
    <row r="256" ht="35.25" customHeight="1" x14ac:dyDescent="0.25"/>
    <row r="257" ht="35.25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0"/>
  </sheetPr>
  <dimension ref="A1:P539"/>
  <sheetViews>
    <sheetView showGridLines="0" showRowColHeaders="0" zoomScale="90" zoomScaleNormal="90" zoomScaleSheetLayoutView="100" workbookViewId="0">
      <selection activeCell="F8" sqref="F8"/>
    </sheetView>
  </sheetViews>
  <sheetFormatPr defaultColWidth="0" defaultRowHeight="0" customHeight="1" zeroHeight="1" x14ac:dyDescent="0.25"/>
  <cols>
    <col min="1" max="1" width="6.5703125" customWidth="1"/>
    <col min="2" max="2" width="7.5703125" customWidth="1"/>
    <col min="3" max="3" width="15.140625" customWidth="1"/>
    <col min="4" max="4" width="35.42578125" customWidth="1"/>
    <col min="5" max="5" width="9.85546875" customWidth="1"/>
    <col min="6" max="6" width="15.42578125" customWidth="1"/>
    <col min="7" max="8" width="5.7109375" customWidth="1"/>
    <col min="9" max="13" width="5.5703125" customWidth="1"/>
    <col min="14" max="14" width="41.85546875" customWidth="1"/>
    <col min="15" max="16" width="1.5703125" customWidth="1"/>
    <col min="17" max="16384" width="1.5703125" hidden="1"/>
  </cols>
  <sheetData>
    <row r="1" spans="1:15" ht="85.5" customHeight="1" x14ac:dyDescent="0.25">
      <c r="A1" s="71" t="s">
        <v>32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 ht="81.75" customHeight="1" thickBot="1" x14ac:dyDescent="0.3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3" spans="1:15" ht="1.5" customHeight="1" thickBot="1" x14ac:dyDescent="0.3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</row>
    <row r="4" spans="1:15" ht="23.25" customHeight="1" x14ac:dyDescent="0.25">
      <c r="A4" s="76" t="s">
        <v>0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</row>
    <row r="5" spans="1:15" ht="21" customHeight="1" x14ac:dyDescent="0.25">
      <c r="A5" s="76" t="s">
        <v>1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</row>
    <row r="6" spans="1:15" ht="21" customHeight="1" x14ac:dyDescent="0.25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3"/>
      <c r="N6" s="4"/>
    </row>
    <row r="7" spans="1:15" ht="4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3"/>
      <c r="N7" s="4"/>
    </row>
    <row r="8" spans="1:15" ht="15.75" x14ac:dyDescent="0.25">
      <c r="A8" s="1"/>
      <c r="B8" s="1"/>
      <c r="C8" s="5"/>
      <c r="D8" s="1"/>
      <c r="E8" s="1" t="s">
        <v>2</v>
      </c>
      <c r="F8" s="2" t="s">
        <v>40</v>
      </c>
      <c r="G8" s="1"/>
      <c r="H8" s="1"/>
      <c r="I8" s="1"/>
      <c r="J8" s="1"/>
      <c r="K8" s="77"/>
      <c r="L8" s="77"/>
      <c r="M8" s="6"/>
      <c r="N8" s="4"/>
    </row>
    <row r="9" spans="1:15" ht="9" customHeight="1" thickBo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5" ht="0.75" customHeight="1" x14ac:dyDescent="0.25">
      <c r="A10" s="61" t="s">
        <v>3</v>
      </c>
      <c r="B10" s="61" t="s">
        <v>4</v>
      </c>
      <c r="C10" s="63" t="s">
        <v>5</v>
      </c>
      <c r="D10" s="65" t="s">
        <v>6</v>
      </c>
      <c r="E10" s="67" t="s">
        <v>7</v>
      </c>
      <c r="F10" s="68"/>
      <c r="G10" s="7" t="s">
        <v>8</v>
      </c>
      <c r="H10" s="7" t="s">
        <v>8</v>
      </c>
      <c r="I10" s="67" t="s">
        <v>9</v>
      </c>
      <c r="J10" s="74"/>
      <c r="K10" s="74"/>
      <c r="L10" s="74"/>
      <c r="M10" s="68"/>
      <c r="N10" s="65" t="s">
        <v>10</v>
      </c>
    </row>
    <row r="11" spans="1:15" ht="0.75" hidden="1" customHeight="1" thickBot="1" x14ac:dyDescent="0.3">
      <c r="A11" s="62"/>
      <c r="B11" s="62"/>
      <c r="C11" s="64"/>
      <c r="D11" s="66"/>
      <c r="E11" s="69"/>
      <c r="F11" s="70"/>
      <c r="G11" s="8" t="s">
        <v>11</v>
      </c>
      <c r="H11" s="8" t="s">
        <v>12</v>
      </c>
      <c r="I11" s="9" t="s">
        <v>13</v>
      </c>
      <c r="J11" s="9" t="s">
        <v>14</v>
      </c>
      <c r="K11" s="9" t="s">
        <v>15</v>
      </c>
      <c r="L11" s="9" t="s">
        <v>16</v>
      </c>
      <c r="M11" s="9" t="s">
        <v>17</v>
      </c>
      <c r="N11" s="66"/>
    </row>
    <row r="12" spans="1:15" ht="0.75" hidden="1" customHeight="1" thickBot="1" x14ac:dyDescent="0.3">
      <c r="A12" s="10">
        <f>ROW()-10</f>
        <v>2</v>
      </c>
      <c r="B12" s="11"/>
      <c r="C12" s="11"/>
      <c r="D12" s="12"/>
      <c r="E12" s="59"/>
      <c r="F12" s="60"/>
      <c r="G12" s="13"/>
      <c r="H12" s="13"/>
      <c r="I12" s="13"/>
      <c r="J12" s="13"/>
      <c r="K12" s="13"/>
      <c r="L12" s="14"/>
      <c r="M12" s="13"/>
      <c r="N12" s="13"/>
    </row>
    <row r="13" spans="1:15" ht="0.75" hidden="1" customHeight="1" thickBot="1" x14ac:dyDescent="0.3">
      <c r="A13" s="10">
        <f t="shared" ref="A13:A29" si="0">ROW()-10</f>
        <v>3</v>
      </c>
      <c r="B13" s="11"/>
      <c r="C13" s="11"/>
      <c r="D13" s="12"/>
      <c r="E13" s="59"/>
      <c r="F13" s="60"/>
      <c r="G13" s="13"/>
      <c r="H13" s="13"/>
      <c r="I13" s="13"/>
      <c r="J13" s="13"/>
      <c r="K13" s="13"/>
      <c r="L13" s="13"/>
      <c r="M13" s="13"/>
      <c r="N13" s="15"/>
    </row>
    <row r="14" spans="1:15" ht="0.75" hidden="1" customHeight="1" thickBot="1" x14ac:dyDescent="0.3">
      <c r="A14" s="10">
        <f t="shared" si="0"/>
        <v>4</v>
      </c>
      <c r="B14" s="11"/>
      <c r="C14" s="11"/>
      <c r="D14" s="12"/>
      <c r="E14" s="59"/>
      <c r="F14" s="60"/>
      <c r="G14" s="13"/>
      <c r="H14" s="13"/>
      <c r="I14" s="13"/>
      <c r="J14" s="16"/>
      <c r="K14" s="13"/>
      <c r="L14" s="13"/>
      <c r="M14" s="13"/>
      <c r="N14" s="15"/>
    </row>
    <row r="15" spans="1:15" ht="0.75" hidden="1" customHeight="1" thickBot="1" x14ac:dyDescent="0.3">
      <c r="A15" s="10">
        <f t="shared" si="0"/>
        <v>5</v>
      </c>
      <c r="B15" s="11"/>
      <c r="C15" s="11"/>
      <c r="D15" s="12"/>
      <c r="E15" s="59"/>
      <c r="F15" s="60"/>
      <c r="G15" s="13"/>
      <c r="H15" s="13"/>
      <c r="I15" s="13"/>
      <c r="J15" s="13"/>
      <c r="K15" s="13"/>
      <c r="L15" s="13"/>
      <c r="M15" s="13"/>
      <c r="N15" s="15"/>
    </row>
    <row r="16" spans="1:15" ht="0.75" hidden="1" customHeight="1" thickBot="1" x14ac:dyDescent="0.3">
      <c r="A16" s="10">
        <f t="shared" si="0"/>
        <v>6</v>
      </c>
      <c r="B16" s="11"/>
      <c r="C16" s="11"/>
      <c r="D16" s="12"/>
      <c r="E16" s="59"/>
      <c r="F16" s="60"/>
      <c r="G16" s="13"/>
      <c r="H16" s="13"/>
      <c r="I16" s="14"/>
      <c r="J16" s="13"/>
      <c r="K16" s="13"/>
      <c r="L16" s="13"/>
      <c r="M16" s="13"/>
      <c r="N16" s="15"/>
    </row>
    <row r="17" spans="1:14" ht="0.75" hidden="1" customHeight="1" thickBot="1" x14ac:dyDescent="0.3">
      <c r="A17" s="10">
        <f t="shared" si="0"/>
        <v>7</v>
      </c>
      <c r="B17" s="11"/>
      <c r="C17" s="11"/>
      <c r="D17" s="12"/>
      <c r="E17" s="59"/>
      <c r="F17" s="60"/>
      <c r="G17" s="13"/>
      <c r="H17" s="13"/>
      <c r="I17" s="13"/>
      <c r="J17" s="13"/>
      <c r="K17" s="13"/>
      <c r="L17" s="13"/>
      <c r="M17" s="16"/>
      <c r="N17" s="15"/>
    </row>
    <row r="18" spans="1:14" ht="0.75" hidden="1" customHeight="1" thickBot="1" x14ac:dyDescent="0.3">
      <c r="A18" s="10">
        <f t="shared" si="0"/>
        <v>8</v>
      </c>
      <c r="B18" s="11"/>
      <c r="C18" s="11"/>
      <c r="D18" s="12"/>
      <c r="E18" s="59"/>
      <c r="F18" s="60"/>
      <c r="G18" s="13"/>
      <c r="H18" s="13"/>
      <c r="I18" s="13"/>
      <c r="J18" s="13"/>
      <c r="K18" s="13"/>
      <c r="L18" s="13"/>
      <c r="M18" s="13"/>
      <c r="N18" s="15"/>
    </row>
    <row r="19" spans="1:14" ht="0.75" hidden="1" customHeight="1" thickBot="1" x14ac:dyDescent="0.3">
      <c r="A19" s="10">
        <f t="shared" si="0"/>
        <v>9</v>
      </c>
      <c r="B19" s="11"/>
      <c r="C19" s="11"/>
      <c r="D19" s="12"/>
      <c r="E19" s="59"/>
      <c r="F19" s="60"/>
      <c r="G19" s="13"/>
      <c r="H19" s="13"/>
      <c r="I19" s="13"/>
      <c r="J19" s="13"/>
      <c r="K19" s="13"/>
      <c r="L19" s="13"/>
      <c r="M19" s="13"/>
      <c r="N19" s="15"/>
    </row>
    <row r="20" spans="1:14" ht="0.75" hidden="1" customHeight="1" thickBot="1" x14ac:dyDescent="0.3">
      <c r="A20" s="10">
        <f t="shared" si="0"/>
        <v>10</v>
      </c>
      <c r="B20" s="11"/>
      <c r="C20" s="11"/>
      <c r="D20" s="12"/>
      <c r="E20" s="59"/>
      <c r="F20" s="60"/>
      <c r="G20" s="13"/>
      <c r="H20" s="13"/>
      <c r="I20" s="13"/>
      <c r="J20" s="13"/>
      <c r="K20" s="13"/>
      <c r="L20" s="13"/>
      <c r="M20" s="13"/>
      <c r="N20" s="15"/>
    </row>
    <row r="21" spans="1:14" ht="0.75" hidden="1" customHeight="1" thickBot="1" x14ac:dyDescent="0.3">
      <c r="A21" s="10">
        <f t="shared" si="0"/>
        <v>11</v>
      </c>
      <c r="B21" s="11"/>
      <c r="C21" s="11"/>
      <c r="D21" s="12"/>
      <c r="E21" s="59"/>
      <c r="F21" s="60"/>
      <c r="G21" s="13"/>
      <c r="H21" s="13"/>
      <c r="I21" s="13"/>
      <c r="J21" s="13"/>
      <c r="K21" s="13"/>
      <c r="L21" s="13"/>
      <c r="M21" s="13"/>
      <c r="N21" s="15"/>
    </row>
    <row r="22" spans="1:14" ht="0.75" hidden="1" customHeight="1" thickBot="1" x14ac:dyDescent="0.3">
      <c r="A22" s="10">
        <f t="shared" si="0"/>
        <v>12</v>
      </c>
      <c r="B22" s="11"/>
      <c r="C22" s="11"/>
      <c r="D22" s="12"/>
      <c r="E22" s="59"/>
      <c r="F22" s="60"/>
      <c r="G22" s="13"/>
      <c r="H22" s="13"/>
      <c r="I22" s="17"/>
      <c r="J22" s="18"/>
      <c r="K22" s="17"/>
      <c r="L22" s="17"/>
      <c r="M22" s="19"/>
      <c r="N22" s="15"/>
    </row>
    <row r="23" spans="1:14" ht="0.75" hidden="1" customHeight="1" thickBot="1" x14ac:dyDescent="0.3">
      <c r="A23" s="10">
        <f t="shared" si="0"/>
        <v>13</v>
      </c>
      <c r="B23" s="20"/>
      <c r="C23" s="20"/>
      <c r="D23" s="21"/>
      <c r="E23" s="59"/>
      <c r="F23" s="60"/>
      <c r="G23" s="17"/>
      <c r="H23" s="17"/>
      <c r="I23" s="17"/>
      <c r="J23" s="18"/>
      <c r="K23" s="17"/>
      <c r="L23" s="17"/>
      <c r="M23" s="19"/>
      <c r="N23" s="17"/>
    </row>
    <row r="24" spans="1:14" ht="0.75" hidden="1" customHeight="1" thickBot="1" x14ac:dyDescent="0.3">
      <c r="A24" s="10">
        <f>ROW()-10</f>
        <v>14</v>
      </c>
      <c r="B24" s="11"/>
      <c r="C24" s="11"/>
      <c r="D24" s="12"/>
      <c r="E24" s="22"/>
      <c r="F24" s="23"/>
      <c r="G24" s="15"/>
      <c r="H24" s="15"/>
      <c r="I24" s="17"/>
      <c r="J24" s="18"/>
      <c r="K24" s="17"/>
      <c r="L24" s="17"/>
      <c r="M24" s="19"/>
      <c r="N24" s="15"/>
    </row>
    <row r="25" spans="1:14" ht="0.75" hidden="1" customHeight="1" thickBot="1" x14ac:dyDescent="0.3">
      <c r="A25" s="10">
        <f t="shared" si="0"/>
        <v>15</v>
      </c>
      <c r="B25" s="11"/>
      <c r="C25" s="11"/>
      <c r="D25" s="12"/>
      <c r="E25" s="22"/>
      <c r="F25" s="23"/>
      <c r="G25" s="15"/>
      <c r="H25" s="15"/>
      <c r="I25" s="17"/>
      <c r="J25" s="18"/>
      <c r="K25" s="17"/>
      <c r="L25" s="17"/>
      <c r="M25" s="19"/>
      <c r="N25" s="15"/>
    </row>
    <row r="26" spans="1:14" ht="0.75" hidden="1" customHeight="1" thickBot="1" x14ac:dyDescent="0.3">
      <c r="A26" s="10">
        <f t="shared" si="0"/>
        <v>16</v>
      </c>
      <c r="B26" s="11"/>
      <c r="C26" s="11"/>
      <c r="D26" s="12"/>
      <c r="E26" s="22"/>
      <c r="F26" s="23"/>
      <c r="G26" s="15"/>
      <c r="H26" s="15"/>
      <c r="I26" s="17"/>
      <c r="J26" s="18"/>
      <c r="K26" s="17"/>
      <c r="L26" s="17"/>
      <c r="M26" s="19"/>
      <c r="N26" s="15"/>
    </row>
    <row r="27" spans="1:14" ht="0.75" hidden="1" customHeight="1" thickBot="1" x14ac:dyDescent="0.3">
      <c r="A27" s="10">
        <f t="shared" si="0"/>
        <v>17</v>
      </c>
      <c r="B27" s="11"/>
      <c r="C27" s="11"/>
      <c r="D27" s="12"/>
      <c r="E27" s="59"/>
      <c r="F27" s="60"/>
      <c r="G27" s="13"/>
      <c r="H27" s="13"/>
      <c r="I27" s="17"/>
      <c r="J27" s="18"/>
      <c r="K27" s="17"/>
      <c r="L27" s="17"/>
      <c r="M27" s="19"/>
      <c r="N27" s="15"/>
    </row>
    <row r="28" spans="1:14" ht="0.75" hidden="1" customHeight="1" thickBot="1" x14ac:dyDescent="0.3">
      <c r="A28" s="10">
        <f t="shared" si="0"/>
        <v>18</v>
      </c>
      <c r="B28" s="20"/>
      <c r="C28" s="20"/>
      <c r="D28" s="21"/>
      <c r="E28" s="59"/>
      <c r="F28" s="60"/>
      <c r="G28" s="17"/>
      <c r="H28" s="17"/>
      <c r="I28" s="17"/>
      <c r="J28" s="18"/>
      <c r="K28" s="17"/>
      <c r="L28" s="17"/>
      <c r="M28" s="19"/>
      <c r="N28" s="17"/>
    </row>
    <row r="29" spans="1:14" ht="0.75" hidden="1" customHeight="1" thickBot="1" x14ac:dyDescent="0.3">
      <c r="A29" s="10">
        <f t="shared" si="0"/>
        <v>19</v>
      </c>
      <c r="B29" s="11"/>
      <c r="C29" s="11"/>
      <c r="D29" s="12"/>
      <c r="E29" s="59"/>
      <c r="F29" s="60"/>
      <c r="G29" s="13"/>
      <c r="H29" s="13"/>
      <c r="I29" s="17"/>
      <c r="J29" s="18"/>
      <c r="K29" s="17"/>
      <c r="L29" s="17"/>
      <c r="M29" s="19"/>
      <c r="N29" s="15"/>
    </row>
    <row r="30" spans="1:14" ht="15" x14ac:dyDescent="0.25"/>
    <row r="31" spans="1:14" ht="15" hidden="1" x14ac:dyDescent="0.25">
      <c r="A31" s="24" t="s">
        <v>18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1"/>
    </row>
    <row r="32" spans="1:14" ht="15.75" hidden="1" thickBot="1" x14ac:dyDescent="0.3">
      <c r="A32" s="25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3"/>
    </row>
    <row r="33" spans="1:14" ht="7.5" customHeight="1" x14ac:dyDescent="0.25"/>
    <row r="34" spans="1:14" ht="15.75" customHeight="1" x14ac:dyDescent="0.25">
      <c r="A34" s="73" t="s">
        <v>19</v>
      </c>
      <c r="B34" s="73"/>
      <c r="C34" s="73"/>
      <c r="D34" s="26"/>
      <c r="E34" s="27"/>
      <c r="F34" s="27"/>
      <c r="G34" s="27"/>
      <c r="H34" s="27"/>
      <c r="I34" s="27"/>
      <c r="J34" s="27"/>
      <c r="K34" s="27"/>
      <c r="L34" s="27"/>
    </row>
    <row r="35" spans="1:14" ht="15.75" customHeight="1" x14ac:dyDescent="0.25">
      <c r="A35" s="26"/>
      <c r="B35" s="26"/>
      <c r="C35" s="26"/>
      <c r="D35" s="27"/>
      <c r="E35" s="27"/>
      <c r="F35" s="27"/>
      <c r="G35" s="27"/>
      <c r="H35" s="27"/>
      <c r="I35" s="27"/>
      <c r="J35" s="27"/>
      <c r="K35" s="27"/>
      <c r="L35" s="27"/>
    </row>
    <row r="36" spans="1:14" ht="15.75" customHeight="1" x14ac:dyDescent="0.25">
      <c r="A36" s="73" t="s">
        <v>20</v>
      </c>
      <c r="B36" s="73"/>
      <c r="C36" s="73"/>
      <c r="D36" s="26"/>
      <c r="E36" s="27"/>
      <c r="F36" s="27"/>
      <c r="G36" s="27"/>
      <c r="H36" s="27"/>
      <c r="I36" s="27"/>
      <c r="J36" s="27"/>
      <c r="K36" s="27"/>
      <c r="L36" s="27"/>
      <c r="N36" s="28"/>
    </row>
    <row r="37" spans="1:14" ht="24.75" customHeight="1" x14ac:dyDescent="0.25"/>
    <row r="38" spans="1:14" ht="16.5" customHeight="1" x14ac:dyDescent="0.25">
      <c r="A38" s="29" t="s">
        <v>21</v>
      </c>
      <c r="B38" s="29"/>
      <c r="C38" s="29"/>
      <c r="D38" s="29"/>
      <c r="E38" s="30"/>
      <c r="F38" s="30"/>
      <c r="G38" s="30"/>
      <c r="H38" s="30"/>
      <c r="I38" s="30"/>
      <c r="J38" s="30"/>
    </row>
    <row r="39" spans="1:14" ht="19.5" customHeight="1" x14ac:dyDescent="0.25">
      <c r="A39" s="78" t="s">
        <v>22</v>
      </c>
      <c r="B39" s="78"/>
      <c r="D39" s="79"/>
      <c r="E39" s="30"/>
      <c r="F39" s="30"/>
      <c r="G39" s="30"/>
      <c r="H39" s="30"/>
      <c r="I39" s="30"/>
      <c r="J39" s="30"/>
    </row>
    <row r="40" spans="1:14" ht="19.5" customHeight="1" x14ac:dyDescent="0.25">
      <c r="A40" t="s">
        <v>23</v>
      </c>
      <c r="D40" s="79"/>
      <c r="E40" s="30"/>
      <c r="F40" s="30"/>
      <c r="G40" s="30"/>
      <c r="H40" s="30"/>
      <c r="I40" s="30"/>
      <c r="J40" s="30"/>
    </row>
    <row r="41" spans="1:14" ht="19.5" customHeight="1" x14ac:dyDescent="0.25">
      <c r="A41" t="s">
        <v>24</v>
      </c>
      <c r="D41" s="79"/>
      <c r="E41" s="30"/>
      <c r="F41" s="30"/>
      <c r="G41" s="30"/>
      <c r="H41" s="30"/>
      <c r="I41" s="30"/>
      <c r="J41" s="30"/>
    </row>
    <row r="42" spans="1:14" ht="21.75" customHeight="1" x14ac:dyDescent="0.25">
      <c r="D42" s="79"/>
      <c r="E42" s="30"/>
      <c r="F42" s="30"/>
      <c r="G42" s="30"/>
      <c r="H42" s="30"/>
      <c r="I42" s="30"/>
      <c r="J42" s="30"/>
    </row>
    <row r="43" spans="1:14" ht="39.75" hidden="1" customHeight="1" x14ac:dyDescent="0.25"/>
    <row r="44" spans="1:14" ht="39.75" hidden="1" customHeight="1" x14ac:dyDescent="0.25"/>
    <row r="45" spans="1:14" ht="39.75" hidden="1" customHeight="1" x14ac:dyDescent="0.25"/>
    <row r="46" spans="1:14" ht="39.75" hidden="1" customHeight="1" x14ac:dyDescent="0.25"/>
    <row r="47" spans="1:14" ht="39.75" hidden="1" customHeight="1" x14ac:dyDescent="0.25"/>
    <row r="48" spans="1:14" ht="39.75" hidden="1" customHeight="1" x14ac:dyDescent="0.25"/>
    <row r="49" ht="39.75" hidden="1" customHeight="1" x14ac:dyDescent="0.25"/>
    <row r="50" ht="39.75" hidden="1" customHeight="1" x14ac:dyDescent="0.25"/>
    <row r="51" ht="39.75" hidden="1" customHeight="1" x14ac:dyDescent="0.25"/>
    <row r="52" ht="39.75" hidden="1" customHeight="1" x14ac:dyDescent="0.25"/>
    <row r="53" ht="39.75" hidden="1" customHeight="1" x14ac:dyDescent="0.25"/>
    <row r="54" ht="39.75" hidden="1" customHeight="1" x14ac:dyDescent="0.25"/>
    <row r="55" ht="39.75" hidden="1" customHeight="1" x14ac:dyDescent="0.25"/>
    <row r="56" ht="39.75" hidden="1" customHeight="1" x14ac:dyDescent="0.25"/>
    <row r="57" ht="39.75" hidden="1" customHeight="1" x14ac:dyDescent="0.25"/>
    <row r="58" ht="39.75" hidden="1" customHeight="1" x14ac:dyDescent="0.25"/>
    <row r="59" ht="39.75" hidden="1" customHeight="1" x14ac:dyDescent="0.25"/>
    <row r="60" ht="39.75" hidden="1" customHeight="1" x14ac:dyDescent="0.25"/>
    <row r="61" ht="39.75" hidden="1" customHeight="1" x14ac:dyDescent="0.25"/>
    <row r="62" ht="39.75" hidden="1" customHeight="1" x14ac:dyDescent="0.25"/>
    <row r="63" ht="39.75" hidden="1" customHeight="1" x14ac:dyDescent="0.25"/>
    <row r="64" ht="39.75" hidden="1" customHeight="1" x14ac:dyDescent="0.25"/>
    <row r="65" ht="39.75" hidden="1" customHeight="1" x14ac:dyDescent="0.25"/>
    <row r="66" ht="39.75" hidden="1" customHeight="1" x14ac:dyDescent="0.25"/>
    <row r="67" ht="39.75" hidden="1" customHeight="1" x14ac:dyDescent="0.25"/>
    <row r="68" ht="39.75" hidden="1" customHeight="1" x14ac:dyDescent="0.25"/>
    <row r="69" ht="39.75" hidden="1" customHeight="1" x14ac:dyDescent="0.25"/>
    <row r="70" ht="39.75" hidden="1" customHeight="1" x14ac:dyDescent="0.25"/>
    <row r="71" ht="39.75" hidden="1" customHeight="1" x14ac:dyDescent="0.25"/>
    <row r="72" ht="39.75" hidden="1" customHeight="1" x14ac:dyDescent="0.25"/>
    <row r="73" ht="39.75" hidden="1" customHeight="1" x14ac:dyDescent="0.25"/>
    <row r="74" ht="39.75" hidden="1" customHeight="1" x14ac:dyDescent="0.25"/>
    <row r="75" ht="39.75" hidden="1" customHeight="1" x14ac:dyDescent="0.25"/>
    <row r="76" ht="39.75" hidden="1" customHeight="1" x14ac:dyDescent="0.25"/>
    <row r="77" ht="39.75" hidden="1" customHeight="1" x14ac:dyDescent="0.25"/>
    <row r="78" ht="39.75" hidden="1" customHeight="1" x14ac:dyDescent="0.25"/>
    <row r="79" ht="39.75" hidden="1" customHeight="1" x14ac:dyDescent="0.25"/>
    <row r="80" ht="39.75" hidden="1" customHeight="1" x14ac:dyDescent="0.25"/>
    <row r="81" ht="39.75" hidden="1" customHeight="1" x14ac:dyDescent="0.25"/>
    <row r="82" ht="39.75" hidden="1" customHeight="1" x14ac:dyDescent="0.25"/>
    <row r="83" ht="39.75" hidden="1" customHeight="1" x14ac:dyDescent="0.25"/>
    <row r="84" ht="39.75" hidden="1" customHeight="1" x14ac:dyDescent="0.25"/>
    <row r="85" ht="39.75" hidden="1" customHeight="1" x14ac:dyDescent="0.25"/>
    <row r="86" ht="39.75" hidden="1" customHeight="1" x14ac:dyDescent="0.25"/>
    <row r="87" ht="39.75" hidden="1" customHeight="1" x14ac:dyDescent="0.25"/>
    <row r="88" ht="39.75" hidden="1" customHeight="1" x14ac:dyDescent="0.25"/>
    <row r="89" ht="39.75" hidden="1" customHeight="1" x14ac:dyDescent="0.25"/>
    <row r="90" ht="39.75" hidden="1" customHeight="1" x14ac:dyDescent="0.25"/>
    <row r="91" ht="39.75" hidden="1" customHeight="1" x14ac:dyDescent="0.25"/>
    <row r="92" ht="39.75" hidden="1" customHeight="1" x14ac:dyDescent="0.25"/>
    <row r="93" ht="39.75" hidden="1" customHeight="1" x14ac:dyDescent="0.25"/>
    <row r="94" ht="39.75" hidden="1" customHeight="1" x14ac:dyDescent="0.25"/>
    <row r="95" ht="39.75" hidden="1" customHeight="1" x14ac:dyDescent="0.25"/>
    <row r="96" ht="39.75" hidden="1" customHeight="1" x14ac:dyDescent="0.25"/>
    <row r="97" ht="39.75" hidden="1" customHeight="1" x14ac:dyDescent="0.25"/>
    <row r="98" ht="39.75" hidden="1" customHeight="1" x14ac:dyDescent="0.25"/>
    <row r="99" ht="39.75" hidden="1" customHeight="1" x14ac:dyDescent="0.25"/>
    <row r="100" ht="39.75" hidden="1" customHeight="1" x14ac:dyDescent="0.25"/>
    <row r="101" ht="39.75" hidden="1" customHeight="1" x14ac:dyDescent="0.25"/>
    <row r="102" ht="39.75" hidden="1" customHeight="1" x14ac:dyDescent="0.25"/>
    <row r="103" ht="39.75" hidden="1" customHeight="1" x14ac:dyDescent="0.25"/>
    <row r="104" ht="39.75" hidden="1" customHeight="1" x14ac:dyDescent="0.25"/>
    <row r="105" ht="39.75" hidden="1" customHeight="1" x14ac:dyDescent="0.25"/>
    <row r="106" ht="39.75" hidden="1" customHeight="1" x14ac:dyDescent="0.25"/>
    <row r="107" ht="39.75" hidden="1" customHeight="1" x14ac:dyDescent="0.25"/>
    <row r="108" ht="39.75" hidden="1" customHeight="1" x14ac:dyDescent="0.25"/>
    <row r="109" ht="39.75" hidden="1" customHeight="1" x14ac:dyDescent="0.25"/>
    <row r="110" ht="39.75" hidden="1" customHeight="1" x14ac:dyDescent="0.25"/>
    <row r="111" ht="39.75" hidden="1" customHeight="1" x14ac:dyDescent="0.25"/>
    <row r="112" ht="39.75" hidden="1" customHeight="1" x14ac:dyDescent="0.25"/>
    <row r="113" ht="39.75" hidden="1" customHeight="1" x14ac:dyDescent="0.25"/>
    <row r="114" ht="39.75" hidden="1" customHeight="1" x14ac:dyDescent="0.25"/>
    <row r="115" ht="39.75" hidden="1" customHeight="1" x14ac:dyDescent="0.25"/>
    <row r="116" ht="39.75" hidden="1" customHeight="1" x14ac:dyDescent="0.25"/>
    <row r="117" ht="39.75" hidden="1" customHeight="1" x14ac:dyDescent="0.25"/>
    <row r="118" ht="39.75" hidden="1" customHeight="1" x14ac:dyDescent="0.25"/>
    <row r="119" ht="39.75" hidden="1" customHeight="1" x14ac:dyDescent="0.25"/>
    <row r="120" ht="39.75" hidden="1" customHeight="1" x14ac:dyDescent="0.25"/>
    <row r="121" ht="39.75" hidden="1" customHeight="1" x14ac:dyDescent="0.25"/>
    <row r="122" ht="39.75" hidden="1" customHeight="1" x14ac:dyDescent="0.25"/>
    <row r="123" ht="39.75" hidden="1" customHeight="1" x14ac:dyDescent="0.25"/>
    <row r="124" ht="39.75" hidden="1" customHeight="1" x14ac:dyDescent="0.25"/>
    <row r="125" ht="39.75" hidden="1" customHeight="1" x14ac:dyDescent="0.25"/>
    <row r="126" ht="39.75" hidden="1" customHeight="1" x14ac:dyDescent="0.25"/>
    <row r="127" ht="39.75" hidden="1" customHeight="1" x14ac:dyDescent="0.25"/>
    <row r="128" ht="39.75" hidden="1" customHeight="1" x14ac:dyDescent="0.25"/>
    <row r="129" ht="39.75" hidden="1" customHeight="1" x14ac:dyDescent="0.25"/>
    <row r="130" ht="39.75" hidden="1" customHeight="1" x14ac:dyDescent="0.25"/>
    <row r="131" ht="39.75" hidden="1" customHeight="1" x14ac:dyDescent="0.25"/>
    <row r="132" ht="39.75" hidden="1" customHeight="1" x14ac:dyDescent="0.25"/>
    <row r="133" ht="39.75" hidden="1" customHeight="1" x14ac:dyDescent="0.25"/>
    <row r="134" ht="39.75" hidden="1" customHeight="1" x14ac:dyDescent="0.25"/>
    <row r="135" ht="39.75" hidden="1" customHeight="1" x14ac:dyDescent="0.25"/>
    <row r="136" ht="39.75" hidden="1" customHeight="1" x14ac:dyDescent="0.25"/>
    <row r="137" ht="39.75" hidden="1" customHeight="1" x14ac:dyDescent="0.25"/>
    <row r="138" ht="39.75" hidden="1" customHeight="1" x14ac:dyDescent="0.25"/>
    <row r="139" ht="39.75" hidden="1" customHeight="1" x14ac:dyDescent="0.25"/>
    <row r="140" ht="39.75" hidden="1" customHeight="1" x14ac:dyDescent="0.25"/>
    <row r="141" ht="39.75" hidden="1" customHeight="1" x14ac:dyDescent="0.25"/>
    <row r="142" ht="39.75" hidden="1" customHeight="1" x14ac:dyDescent="0.25"/>
    <row r="143" ht="39.75" hidden="1" customHeight="1" x14ac:dyDescent="0.25"/>
    <row r="144" ht="39.75" hidden="1" customHeight="1" x14ac:dyDescent="0.25"/>
    <row r="145" ht="39.75" hidden="1" customHeight="1" x14ac:dyDescent="0.25"/>
    <row r="146" ht="39.75" hidden="1" customHeight="1" x14ac:dyDescent="0.25"/>
    <row r="147" ht="39.75" hidden="1" customHeight="1" x14ac:dyDescent="0.25"/>
    <row r="148" ht="39.75" hidden="1" customHeight="1" x14ac:dyDescent="0.25"/>
    <row r="149" ht="39.75" hidden="1" customHeight="1" x14ac:dyDescent="0.25"/>
    <row r="150" ht="39.75" hidden="1" customHeight="1" x14ac:dyDescent="0.25"/>
    <row r="151" ht="39.75" hidden="1" customHeight="1" x14ac:dyDescent="0.25"/>
    <row r="152" ht="39.75" hidden="1" customHeight="1" x14ac:dyDescent="0.25"/>
    <row r="153" ht="39.75" hidden="1" customHeight="1" x14ac:dyDescent="0.25"/>
    <row r="154" ht="39.75" hidden="1" customHeight="1" x14ac:dyDescent="0.25"/>
    <row r="155" ht="39.75" hidden="1" customHeight="1" x14ac:dyDescent="0.25"/>
    <row r="156" ht="39.75" hidden="1" customHeight="1" x14ac:dyDescent="0.25"/>
    <row r="157" ht="39.75" hidden="1" customHeight="1" x14ac:dyDescent="0.25"/>
    <row r="158" ht="39.75" hidden="1" customHeight="1" x14ac:dyDescent="0.25"/>
    <row r="159" ht="39.75" hidden="1" customHeight="1" x14ac:dyDescent="0.25"/>
    <row r="160" ht="39.75" hidden="1" customHeight="1" x14ac:dyDescent="0.25"/>
    <row r="161" ht="39.75" hidden="1" customHeight="1" x14ac:dyDescent="0.25"/>
    <row r="162" ht="39.75" hidden="1" customHeight="1" x14ac:dyDescent="0.25"/>
    <row r="163" ht="39.75" hidden="1" customHeight="1" x14ac:dyDescent="0.25"/>
    <row r="164" ht="39.75" hidden="1" customHeight="1" x14ac:dyDescent="0.25"/>
    <row r="165" ht="39.75" hidden="1" customHeight="1" x14ac:dyDescent="0.25"/>
    <row r="166" ht="39.75" hidden="1" customHeight="1" x14ac:dyDescent="0.25"/>
    <row r="167" ht="39.75" hidden="1" customHeight="1" x14ac:dyDescent="0.25"/>
    <row r="168" ht="39.75" hidden="1" customHeight="1" x14ac:dyDescent="0.25"/>
    <row r="169" ht="39.75" hidden="1" customHeight="1" x14ac:dyDescent="0.25"/>
    <row r="170" ht="39.75" hidden="1" customHeight="1" x14ac:dyDescent="0.25"/>
    <row r="171" ht="39.75" hidden="1" customHeight="1" x14ac:dyDescent="0.25"/>
    <row r="172" ht="39.75" hidden="1" customHeight="1" x14ac:dyDescent="0.25"/>
    <row r="173" ht="39.75" hidden="1" customHeight="1" x14ac:dyDescent="0.25"/>
    <row r="174" ht="39.75" hidden="1" customHeight="1" x14ac:dyDescent="0.25"/>
    <row r="175" ht="39.75" hidden="1" customHeight="1" x14ac:dyDescent="0.25"/>
    <row r="176" ht="39.75" hidden="1" customHeight="1" x14ac:dyDescent="0.25"/>
    <row r="177" ht="39.75" hidden="1" customHeight="1" x14ac:dyDescent="0.25"/>
    <row r="178" ht="39.75" hidden="1" customHeight="1" x14ac:dyDescent="0.25"/>
    <row r="179" ht="39.75" hidden="1" customHeight="1" x14ac:dyDescent="0.25"/>
    <row r="180" ht="39.75" hidden="1" customHeight="1" x14ac:dyDescent="0.25"/>
    <row r="181" ht="39.75" hidden="1" customHeight="1" x14ac:dyDescent="0.25"/>
    <row r="182" ht="39.75" hidden="1" customHeight="1" x14ac:dyDescent="0.25"/>
    <row r="183" ht="39.75" hidden="1" customHeight="1" x14ac:dyDescent="0.25"/>
    <row r="184" ht="39.75" hidden="1" customHeight="1" x14ac:dyDescent="0.25"/>
    <row r="185" ht="39.75" hidden="1" customHeight="1" x14ac:dyDescent="0.25"/>
    <row r="186" ht="39.75" hidden="1" customHeight="1" x14ac:dyDescent="0.25"/>
    <row r="187" ht="39.75" hidden="1" customHeight="1" x14ac:dyDescent="0.25"/>
    <row r="188" ht="39.75" hidden="1" customHeight="1" x14ac:dyDescent="0.25"/>
    <row r="189" ht="39.75" hidden="1" customHeight="1" x14ac:dyDescent="0.25"/>
    <row r="190" ht="39.75" hidden="1" customHeight="1" x14ac:dyDescent="0.25"/>
    <row r="191" ht="39.75" hidden="1" customHeight="1" x14ac:dyDescent="0.25"/>
    <row r="192" ht="39.75" hidden="1" customHeight="1" x14ac:dyDescent="0.25"/>
    <row r="193" ht="39.75" hidden="1" customHeight="1" x14ac:dyDescent="0.25"/>
    <row r="194" ht="39.75" hidden="1" customHeight="1" x14ac:dyDescent="0.25"/>
    <row r="195" ht="39.75" hidden="1" customHeight="1" x14ac:dyDescent="0.25"/>
    <row r="196" ht="39.75" hidden="1" customHeight="1" x14ac:dyDescent="0.25"/>
    <row r="197" ht="39.75" hidden="1" customHeight="1" x14ac:dyDescent="0.25"/>
    <row r="198" ht="39.75" hidden="1" customHeight="1" x14ac:dyDescent="0.25"/>
    <row r="199" ht="39.75" hidden="1" customHeight="1" x14ac:dyDescent="0.25"/>
    <row r="200" ht="39.75" hidden="1" customHeight="1" x14ac:dyDescent="0.25"/>
    <row r="201" ht="39.75" hidden="1" customHeight="1" x14ac:dyDescent="0.25"/>
    <row r="202" ht="39.75" hidden="1" customHeight="1" x14ac:dyDescent="0.25"/>
    <row r="203" ht="39.75" hidden="1" customHeight="1" x14ac:dyDescent="0.25"/>
    <row r="204" ht="39.75" hidden="1" customHeight="1" x14ac:dyDescent="0.25"/>
    <row r="205" ht="39.75" hidden="1" customHeight="1" x14ac:dyDescent="0.25"/>
    <row r="206" ht="39.75" hidden="1" customHeight="1" x14ac:dyDescent="0.25"/>
    <row r="207" ht="39.75" hidden="1" customHeight="1" x14ac:dyDescent="0.25"/>
    <row r="208" ht="39.75" hidden="1" customHeight="1" x14ac:dyDescent="0.25"/>
    <row r="209" ht="39.75" hidden="1" customHeight="1" x14ac:dyDescent="0.25"/>
    <row r="210" ht="39.75" hidden="1" customHeight="1" x14ac:dyDescent="0.25"/>
    <row r="211" ht="39.75" hidden="1" customHeight="1" x14ac:dyDescent="0.25"/>
    <row r="212" ht="39.75" hidden="1" customHeight="1" x14ac:dyDescent="0.25"/>
    <row r="213" ht="39.75" hidden="1" customHeight="1" x14ac:dyDescent="0.25"/>
    <row r="214" ht="39.75" hidden="1" customHeight="1" x14ac:dyDescent="0.25"/>
    <row r="215" ht="39.75" hidden="1" customHeight="1" x14ac:dyDescent="0.25"/>
    <row r="216" ht="39.75" hidden="1" customHeight="1" x14ac:dyDescent="0.25"/>
    <row r="217" ht="39.75" hidden="1" customHeight="1" x14ac:dyDescent="0.25"/>
    <row r="218" ht="39.75" hidden="1" customHeight="1" x14ac:dyDescent="0.25"/>
    <row r="219" ht="39.75" hidden="1" customHeight="1" x14ac:dyDescent="0.25"/>
    <row r="220" ht="39.75" hidden="1" customHeight="1" x14ac:dyDescent="0.25"/>
    <row r="221" ht="39.75" hidden="1" customHeight="1" x14ac:dyDescent="0.25"/>
    <row r="222" ht="39.75" hidden="1" customHeight="1" x14ac:dyDescent="0.25"/>
    <row r="223" ht="39.75" hidden="1" customHeight="1" x14ac:dyDescent="0.25"/>
    <row r="224" ht="39.75" hidden="1" customHeight="1" x14ac:dyDescent="0.25"/>
    <row r="225" ht="39.75" hidden="1" customHeight="1" x14ac:dyDescent="0.25"/>
    <row r="226" ht="39.75" hidden="1" customHeight="1" x14ac:dyDescent="0.25"/>
    <row r="227" ht="39.75" hidden="1" customHeight="1" x14ac:dyDescent="0.25"/>
    <row r="228" ht="39.75" hidden="1" customHeight="1" x14ac:dyDescent="0.25"/>
    <row r="229" ht="39.75" hidden="1" customHeight="1" x14ac:dyDescent="0.25"/>
    <row r="230" ht="39.75" hidden="1" customHeight="1" x14ac:dyDescent="0.25"/>
    <row r="231" ht="39.75" hidden="1" customHeight="1" x14ac:dyDescent="0.25"/>
    <row r="232" ht="39.75" hidden="1" customHeight="1" x14ac:dyDescent="0.25"/>
    <row r="233" ht="39.75" hidden="1" customHeight="1" x14ac:dyDescent="0.25"/>
    <row r="234" ht="39.75" hidden="1" customHeight="1" x14ac:dyDescent="0.25"/>
    <row r="235" ht="39.75" hidden="1" customHeight="1" x14ac:dyDescent="0.25"/>
    <row r="236" ht="39.75" hidden="1" customHeight="1" x14ac:dyDescent="0.25"/>
    <row r="237" ht="39.75" hidden="1" customHeight="1" x14ac:dyDescent="0.25"/>
    <row r="238" ht="39.75" hidden="1" customHeight="1" x14ac:dyDescent="0.25"/>
    <row r="239" ht="39.75" hidden="1" customHeight="1" x14ac:dyDescent="0.25"/>
    <row r="240" ht="39.75" hidden="1" customHeight="1" x14ac:dyDescent="0.25"/>
    <row r="241" ht="39.75" hidden="1" customHeight="1" x14ac:dyDescent="0.25"/>
    <row r="242" ht="39.75" hidden="1" customHeight="1" x14ac:dyDescent="0.25"/>
    <row r="243" ht="39.75" hidden="1" customHeight="1" x14ac:dyDescent="0.25"/>
    <row r="244" ht="39.75" hidden="1" customHeight="1" x14ac:dyDescent="0.25"/>
    <row r="245" ht="39.75" hidden="1" customHeight="1" x14ac:dyDescent="0.25"/>
    <row r="246" ht="39.75" hidden="1" customHeight="1" x14ac:dyDescent="0.25"/>
    <row r="247" ht="39.75" hidden="1" customHeight="1" x14ac:dyDescent="0.25"/>
    <row r="248" ht="39.75" hidden="1" customHeight="1" x14ac:dyDescent="0.25"/>
    <row r="249" ht="39.75" hidden="1" customHeight="1" x14ac:dyDescent="0.25"/>
    <row r="250" ht="39.75" hidden="1" customHeight="1" x14ac:dyDescent="0.25"/>
    <row r="251" ht="39.75" hidden="1" customHeight="1" x14ac:dyDescent="0.25"/>
    <row r="252" ht="39.75" hidden="1" customHeight="1" x14ac:dyDescent="0.25"/>
    <row r="253" ht="39.75" hidden="1" customHeight="1" x14ac:dyDescent="0.25"/>
    <row r="254" ht="39.75" hidden="1" customHeight="1" x14ac:dyDescent="0.25"/>
    <row r="255" ht="39.75" hidden="1" customHeight="1" x14ac:dyDescent="0.25"/>
    <row r="256" ht="39.75" hidden="1" customHeight="1" x14ac:dyDescent="0.25"/>
    <row r="257" ht="39.75" hidden="1" customHeight="1" x14ac:dyDescent="0.25"/>
    <row r="258" ht="39.75" hidden="1" customHeight="1" x14ac:dyDescent="0.25"/>
    <row r="259" ht="39.75" hidden="1" customHeight="1" x14ac:dyDescent="0.25"/>
    <row r="260" ht="39.75" hidden="1" customHeight="1" x14ac:dyDescent="0.25"/>
    <row r="261" ht="39.75" hidden="1" customHeight="1" x14ac:dyDescent="0.25"/>
    <row r="262" ht="39.75" hidden="1" customHeight="1" x14ac:dyDescent="0.25"/>
    <row r="263" ht="39.75" hidden="1" customHeight="1" x14ac:dyDescent="0.25"/>
    <row r="264" ht="39.75" hidden="1" customHeight="1" x14ac:dyDescent="0.25"/>
    <row r="265" ht="39.75" hidden="1" customHeight="1" x14ac:dyDescent="0.25"/>
    <row r="266" ht="39.75" hidden="1" customHeight="1" x14ac:dyDescent="0.25"/>
    <row r="267" ht="39.75" hidden="1" customHeight="1" x14ac:dyDescent="0.25"/>
    <row r="268" ht="39.75" hidden="1" customHeight="1" x14ac:dyDescent="0.25"/>
    <row r="269" ht="39.75" hidden="1" customHeight="1" x14ac:dyDescent="0.25"/>
    <row r="270" ht="39.75" hidden="1" customHeight="1" x14ac:dyDescent="0.25"/>
    <row r="271" ht="39.75" hidden="1" customHeight="1" x14ac:dyDescent="0.25"/>
    <row r="272" ht="39.75" hidden="1" customHeight="1" x14ac:dyDescent="0.25"/>
    <row r="273" ht="39.75" hidden="1" customHeight="1" x14ac:dyDescent="0.25"/>
    <row r="274" ht="39.75" hidden="1" customHeight="1" x14ac:dyDescent="0.25"/>
    <row r="275" ht="39.75" hidden="1" customHeight="1" x14ac:dyDescent="0.25"/>
    <row r="276" ht="39.75" hidden="1" customHeight="1" x14ac:dyDescent="0.25"/>
    <row r="277" ht="39.75" hidden="1" customHeight="1" x14ac:dyDescent="0.25"/>
    <row r="278" ht="39.75" hidden="1" customHeight="1" x14ac:dyDescent="0.25"/>
    <row r="279" ht="39.75" hidden="1" customHeight="1" x14ac:dyDescent="0.25"/>
    <row r="280" ht="39.75" hidden="1" customHeight="1" x14ac:dyDescent="0.25"/>
    <row r="281" ht="39.75" hidden="1" customHeight="1" x14ac:dyDescent="0.25"/>
    <row r="282" ht="39.75" hidden="1" customHeight="1" x14ac:dyDescent="0.25"/>
    <row r="283" ht="39.75" hidden="1" customHeight="1" x14ac:dyDescent="0.25"/>
    <row r="284" ht="39.75" hidden="1" customHeight="1" x14ac:dyDescent="0.25"/>
    <row r="285" ht="39.75" hidden="1" customHeight="1" x14ac:dyDescent="0.25"/>
    <row r="286" ht="39.75" hidden="1" customHeight="1" x14ac:dyDescent="0.25"/>
    <row r="287" ht="39.75" hidden="1" customHeight="1" x14ac:dyDescent="0.25"/>
    <row r="288" ht="39.75" hidden="1" customHeight="1" x14ac:dyDescent="0.25"/>
    <row r="289" ht="39.75" hidden="1" customHeight="1" x14ac:dyDescent="0.25"/>
    <row r="290" ht="39.75" hidden="1" customHeight="1" x14ac:dyDescent="0.25"/>
    <row r="291" ht="39.75" hidden="1" customHeight="1" x14ac:dyDescent="0.25"/>
    <row r="292" ht="39.75" hidden="1" customHeight="1" x14ac:dyDescent="0.25"/>
    <row r="293" ht="39.75" hidden="1" customHeight="1" x14ac:dyDescent="0.25"/>
    <row r="294" ht="39.75" hidden="1" customHeight="1" x14ac:dyDescent="0.25"/>
    <row r="295" ht="39.75" hidden="1" customHeight="1" x14ac:dyDescent="0.25"/>
    <row r="296" ht="39.75" hidden="1" customHeight="1" x14ac:dyDescent="0.25"/>
    <row r="297" ht="39.75" hidden="1" customHeight="1" x14ac:dyDescent="0.25"/>
    <row r="298" ht="39.75" hidden="1" customHeight="1" x14ac:dyDescent="0.25"/>
    <row r="299" ht="39.75" hidden="1" customHeight="1" x14ac:dyDescent="0.25"/>
    <row r="300" ht="39.75" hidden="1" customHeight="1" x14ac:dyDescent="0.25"/>
    <row r="301" ht="39.75" hidden="1" customHeight="1" x14ac:dyDescent="0.25"/>
    <row r="302" ht="39.75" hidden="1" customHeight="1" x14ac:dyDescent="0.25"/>
    <row r="303" ht="39.75" hidden="1" customHeight="1" x14ac:dyDescent="0.25"/>
    <row r="304" ht="39.75" hidden="1" customHeight="1" x14ac:dyDescent="0.25"/>
    <row r="305" ht="39.75" hidden="1" customHeight="1" x14ac:dyDescent="0.25"/>
    <row r="306" ht="39.75" hidden="1" customHeight="1" x14ac:dyDescent="0.25"/>
    <row r="307" ht="39.75" hidden="1" customHeight="1" x14ac:dyDescent="0.25"/>
    <row r="308" ht="39.75" hidden="1" customHeight="1" x14ac:dyDescent="0.25"/>
    <row r="309" ht="39.75" hidden="1" customHeight="1" x14ac:dyDescent="0.25"/>
    <row r="310" ht="39.75" hidden="1" customHeight="1" x14ac:dyDescent="0.25"/>
    <row r="311" ht="39.75" hidden="1" customHeight="1" x14ac:dyDescent="0.25"/>
    <row r="312" ht="39.75" hidden="1" customHeight="1" x14ac:dyDescent="0.25"/>
    <row r="313" ht="39.75" hidden="1" customHeight="1" x14ac:dyDescent="0.25"/>
    <row r="314" ht="39.75" hidden="1" customHeight="1" x14ac:dyDescent="0.25"/>
    <row r="315" ht="39.75" hidden="1" customHeight="1" x14ac:dyDescent="0.25"/>
    <row r="316" ht="39.75" hidden="1" customHeight="1" x14ac:dyDescent="0.25"/>
    <row r="317" ht="39.75" hidden="1" customHeight="1" x14ac:dyDescent="0.25"/>
    <row r="318" ht="39.75" hidden="1" customHeight="1" x14ac:dyDescent="0.25"/>
    <row r="319" ht="39.75" hidden="1" customHeight="1" x14ac:dyDescent="0.25"/>
    <row r="320" ht="39.75" hidden="1" customHeight="1" x14ac:dyDescent="0.25"/>
    <row r="321" ht="39.75" hidden="1" customHeight="1" x14ac:dyDescent="0.25"/>
    <row r="322" ht="39.75" hidden="1" customHeight="1" x14ac:dyDescent="0.25"/>
    <row r="323" ht="39.75" hidden="1" customHeight="1" x14ac:dyDescent="0.25"/>
    <row r="324" ht="39.75" hidden="1" customHeight="1" x14ac:dyDescent="0.25"/>
    <row r="325" ht="39.75" hidden="1" customHeight="1" x14ac:dyDescent="0.25"/>
    <row r="326" ht="39.75" hidden="1" customHeight="1" x14ac:dyDescent="0.25"/>
    <row r="327" ht="39.75" hidden="1" customHeight="1" x14ac:dyDescent="0.25"/>
    <row r="328" ht="39.75" hidden="1" customHeight="1" x14ac:dyDescent="0.25"/>
    <row r="329" ht="39.75" hidden="1" customHeight="1" x14ac:dyDescent="0.25"/>
    <row r="330" ht="39.75" hidden="1" customHeight="1" x14ac:dyDescent="0.25"/>
    <row r="331" ht="39.75" hidden="1" customHeight="1" x14ac:dyDescent="0.25"/>
    <row r="332" ht="39.75" hidden="1" customHeight="1" x14ac:dyDescent="0.25"/>
    <row r="333" ht="39.75" hidden="1" customHeight="1" x14ac:dyDescent="0.25"/>
    <row r="334" ht="39.75" hidden="1" customHeight="1" x14ac:dyDescent="0.25"/>
    <row r="335" ht="39.75" hidden="1" customHeight="1" x14ac:dyDescent="0.25"/>
    <row r="336" ht="39.75" hidden="1" customHeight="1" x14ac:dyDescent="0.25"/>
    <row r="337" ht="39.75" hidden="1" customHeight="1" x14ac:dyDescent="0.25"/>
    <row r="338" ht="39.75" hidden="1" customHeight="1" x14ac:dyDescent="0.25"/>
    <row r="339" ht="39.75" hidden="1" customHeight="1" x14ac:dyDescent="0.25"/>
    <row r="340" ht="39.75" hidden="1" customHeight="1" x14ac:dyDescent="0.25"/>
    <row r="341" ht="39.75" hidden="1" customHeight="1" x14ac:dyDescent="0.25"/>
    <row r="342" ht="39.75" hidden="1" customHeight="1" x14ac:dyDescent="0.25"/>
    <row r="343" ht="39.75" hidden="1" customHeight="1" x14ac:dyDescent="0.25"/>
    <row r="344" ht="39.75" hidden="1" customHeight="1" x14ac:dyDescent="0.25"/>
    <row r="345" ht="39.75" hidden="1" customHeight="1" x14ac:dyDescent="0.25"/>
    <row r="346" ht="39.75" hidden="1" customHeight="1" x14ac:dyDescent="0.25"/>
    <row r="347" ht="39.75" hidden="1" customHeight="1" x14ac:dyDescent="0.25"/>
    <row r="348" ht="39.75" hidden="1" customHeight="1" x14ac:dyDescent="0.25"/>
    <row r="349" ht="39.75" hidden="1" customHeight="1" x14ac:dyDescent="0.25"/>
    <row r="350" ht="39.75" hidden="1" customHeight="1" x14ac:dyDescent="0.25"/>
    <row r="351" ht="39.75" hidden="1" customHeight="1" x14ac:dyDescent="0.25"/>
    <row r="352" ht="39.75" hidden="1" customHeight="1" x14ac:dyDescent="0.25"/>
    <row r="353" ht="39.75" hidden="1" customHeight="1" x14ac:dyDescent="0.25"/>
    <row r="354" ht="39.75" hidden="1" customHeight="1" x14ac:dyDescent="0.25"/>
    <row r="355" ht="39.75" hidden="1" customHeight="1" x14ac:dyDescent="0.25"/>
    <row r="356" ht="39.75" hidden="1" customHeight="1" x14ac:dyDescent="0.25"/>
    <row r="357" ht="39.75" hidden="1" customHeight="1" x14ac:dyDescent="0.25"/>
    <row r="358" ht="39.75" hidden="1" customHeight="1" x14ac:dyDescent="0.25"/>
    <row r="359" ht="39.75" hidden="1" customHeight="1" x14ac:dyDescent="0.25"/>
    <row r="360" ht="39.75" hidden="1" customHeight="1" x14ac:dyDescent="0.25"/>
    <row r="361" ht="39.75" hidden="1" customHeight="1" x14ac:dyDescent="0.25"/>
    <row r="362" ht="39.75" hidden="1" customHeight="1" x14ac:dyDescent="0.25"/>
    <row r="363" ht="39.75" hidden="1" customHeight="1" x14ac:dyDescent="0.25"/>
    <row r="364" ht="39.75" hidden="1" customHeight="1" x14ac:dyDescent="0.25"/>
    <row r="365" ht="39.75" hidden="1" customHeight="1" x14ac:dyDescent="0.25"/>
    <row r="366" ht="39.75" hidden="1" customHeight="1" x14ac:dyDescent="0.25"/>
    <row r="367" ht="39.75" hidden="1" customHeight="1" x14ac:dyDescent="0.25"/>
    <row r="368" ht="39.75" hidden="1" customHeight="1" x14ac:dyDescent="0.25"/>
    <row r="369" ht="39.75" hidden="1" customHeight="1" x14ac:dyDescent="0.25"/>
    <row r="370" ht="39.75" hidden="1" customHeight="1" x14ac:dyDescent="0.25"/>
    <row r="371" ht="39.75" hidden="1" customHeight="1" x14ac:dyDescent="0.25"/>
    <row r="372" ht="39.75" hidden="1" customHeight="1" x14ac:dyDescent="0.25"/>
    <row r="373" ht="39.75" hidden="1" customHeight="1" x14ac:dyDescent="0.25"/>
    <row r="374" ht="39.75" hidden="1" customHeight="1" x14ac:dyDescent="0.25"/>
    <row r="375" ht="39.75" hidden="1" customHeight="1" x14ac:dyDescent="0.25"/>
    <row r="376" ht="39.75" hidden="1" customHeight="1" x14ac:dyDescent="0.25"/>
    <row r="377" ht="39.75" hidden="1" customHeight="1" x14ac:dyDescent="0.25"/>
    <row r="378" ht="39.75" hidden="1" customHeight="1" x14ac:dyDescent="0.25"/>
    <row r="379" ht="39.75" hidden="1" customHeight="1" x14ac:dyDescent="0.25"/>
    <row r="380" ht="39.75" hidden="1" customHeight="1" x14ac:dyDescent="0.25"/>
    <row r="381" ht="39.75" hidden="1" customHeight="1" x14ac:dyDescent="0.25"/>
    <row r="382" ht="39.75" hidden="1" customHeight="1" x14ac:dyDescent="0.25"/>
    <row r="383" ht="39.75" hidden="1" customHeight="1" x14ac:dyDescent="0.25"/>
    <row r="384" ht="39.75" hidden="1" customHeight="1" x14ac:dyDescent="0.25"/>
    <row r="385" ht="39.75" hidden="1" customHeight="1" x14ac:dyDescent="0.25"/>
    <row r="386" ht="39.75" hidden="1" customHeight="1" x14ac:dyDescent="0.25"/>
    <row r="387" ht="39.75" hidden="1" customHeight="1" x14ac:dyDescent="0.25"/>
    <row r="388" ht="39.75" hidden="1" customHeight="1" x14ac:dyDescent="0.25"/>
    <row r="389" ht="39.75" hidden="1" customHeight="1" x14ac:dyDescent="0.25"/>
    <row r="390" ht="39.75" hidden="1" customHeight="1" x14ac:dyDescent="0.25"/>
    <row r="391" ht="39.75" hidden="1" customHeight="1" x14ac:dyDescent="0.25"/>
    <row r="392" ht="39.75" hidden="1" customHeight="1" x14ac:dyDescent="0.25"/>
    <row r="393" ht="39.75" hidden="1" customHeight="1" x14ac:dyDescent="0.25"/>
    <row r="394" ht="39.75" hidden="1" customHeight="1" x14ac:dyDescent="0.25"/>
    <row r="395" ht="39.75" hidden="1" customHeight="1" x14ac:dyDescent="0.25"/>
    <row r="396" ht="39.75" hidden="1" customHeight="1" x14ac:dyDescent="0.25"/>
    <row r="397" ht="39.75" hidden="1" customHeight="1" x14ac:dyDescent="0.25"/>
    <row r="398" ht="39.75" hidden="1" customHeight="1" x14ac:dyDescent="0.25"/>
    <row r="399" ht="39.75" hidden="1" customHeight="1" x14ac:dyDescent="0.25"/>
    <row r="400" ht="39.75" hidden="1" customHeight="1" x14ac:dyDescent="0.25"/>
    <row r="401" ht="39.75" hidden="1" customHeight="1" x14ac:dyDescent="0.25"/>
    <row r="402" ht="39.75" hidden="1" customHeight="1" x14ac:dyDescent="0.25"/>
    <row r="403" ht="39.75" hidden="1" customHeight="1" x14ac:dyDescent="0.25"/>
    <row r="404" ht="39.75" hidden="1" customHeight="1" x14ac:dyDescent="0.25"/>
    <row r="405" ht="39.75" hidden="1" customHeight="1" x14ac:dyDescent="0.25"/>
    <row r="406" ht="39.75" hidden="1" customHeight="1" x14ac:dyDescent="0.25"/>
    <row r="407" ht="39.75" hidden="1" customHeight="1" x14ac:dyDescent="0.25"/>
    <row r="408" ht="39.75" hidden="1" customHeight="1" x14ac:dyDescent="0.25"/>
    <row r="409" ht="39.75" hidden="1" customHeight="1" x14ac:dyDescent="0.25"/>
    <row r="410" ht="39.75" hidden="1" customHeight="1" x14ac:dyDescent="0.25"/>
    <row r="411" ht="39.75" hidden="1" customHeight="1" x14ac:dyDescent="0.25"/>
    <row r="412" ht="39.75" hidden="1" customHeight="1" x14ac:dyDescent="0.25"/>
    <row r="413" ht="39.75" hidden="1" customHeight="1" x14ac:dyDescent="0.25"/>
    <row r="414" ht="39.75" hidden="1" customHeight="1" x14ac:dyDescent="0.25"/>
    <row r="415" ht="39.75" hidden="1" customHeight="1" x14ac:dyDescent="0.25"/>
    <row r="416" ht="39.75" hidden="1" customHeight="1" x14ac:dyDescent="0.25"/>
    <row r="417" ht="39.75" hidden="1" customHeight="1" x14ac:dyDescent="0.25"/>
    <row r="418" ht="39.75" hidden="1" customHeight="1" x14ac:dyDescent="0.25"/>
    <row r="419" ht="39.75" hidden="1" customHeight="1" x14ac:dyDescent="0.25"/>
    <row r="420" ht="39.75" hidden="1" customHeight="1" x14ac:dyDescent="0.25"/>
    <row r="421" ht="39.75" hidden="1" customHeight="1" x14ac:dyDescent="0.25"/>
    <row r="422" ht="39.75" hidden="1" customHeight="1" x14ac:dyDescent="0.25"/>
    <row r="423" ht="39.75" hidden="1" customHeight="1" x14ac:dyDescent="0.25"/>
    <row r="424" ht="39.75" hidden="1" customHeight="1" x14ac:dyDescent="0.25"/>
    <row r="425" ht="39.75" hidden="1" customHeight="1" x14ac:dyDescent="0.25"/>
    <row r="426" ht="39.75" hidden="1" customHeight="1" x14ac:dyDescent="0.25"/>
    <row r="427" ht="39.75" hidden="1" customHeight="1" x14ac:dyDescent="0.25"/>
    <row r="428" ht="39.75" hidden="1" customHeight="1" x14ac:dyDescent="0.25"/>
    <row r="429" ht="39.75" hidden="1" customHeight="1" x14ac:dyDescent="0.25"/>
    <row r="430" ht="39.75" hidden="1" customHeight="1" x14ac:dyDescent="0.25"/>
    <row r="431" ht="39.75" hidden="1" customHeight="1" x14ac:dyDescent="0.25"/>
    <row r="432" ht="39.75" hidden="1" customHeight="1" x14ac:dyDescent="0.25"/>
    <row r="433" ht="39.75" hidden="1" customHeight="1" x14ac:dyDescent="0.25"/>
    <row r="434" ht="39.75" hidden="1" customHeight="1" x14ac:dyDescent="0.25"/>
    <row r="435" ht="39.75" hidden="1" customHeight="1" x14ac:dyDescent="0.25"/>
    <row r="436" ht="39.75" hidden="1" customHeight="1" x14ac:dyDescent="0.25"/>
    <row r="437" ht="39.75" hidden="1" customHeight="1" x14ac:dyDescent="0.25"/>
    <row r="438" ht="39.75" hidden="1" customHeight="1" x14ac:dyDescent="0.25"/>
    <row r="439" ht="39.75" hidden="1" customHeight="1" x14ac:dyDescent="0.25"/>
    <row r="440" ht="39.75" hidden="1" customHeight="1" x14ac:dyDescent="0.25"/>
    <row r="441" ht="39.75" hidden="1" customHeight="1" x14ac:dyDescent="0.25"/>
    <row r="442" ht="39.75" hidden="1" customHeight="1" x14ac:dyDescent="0.25"/>
    <row r="443" ht="39.75" hidden="1" customHeight="1" x14ac:dyDescent="0.25"/>
    <row r="444" ht="39.75" hidden="1" customHeight="1" x14ac:dyDescent="0.25"/>
    <row r="445" ht="39.75" hidden="1" customHeight="1" x14ac:dyDescent="0.25"/>
    <row r="446" ht="39.75" hidden="1" customHeight="1" x14ac:dyDescent="0.25"/>
    <row r="447" ht="39.75" hidden="1" customHeight="1" x14ac:dyDescent="0.25"/>
    <row r="448" ht="39.75" hidden="1" customHeight="1" x14ac:dyDescent="0.25"/>
    <row r="449" ht="39.75" hidden="1" customHeight="1" x14ac:dyDescent="0.25"/>
    <row r="450" ht="39.75" hidden="1" customHeight="1" x14ac:dyDescent="0.25"/>
    <row r="451" ht="39.75" hidden="1" customHeight="1" x14ac:dyDescent="0.25"/>
    <row r="452" ht="39.75" hidden="1" customHeight="1" x14ac:dyDescent="0.25"/>
    <row r="453" ht="39.75" hidden="1" customHeight="1" x14ac:dyDescent="0.25"/>
    <row r="454" ht="39.75" hidden="1" customHeight="1" x14ac:dyDescent="0.25"/>
    <row r="455" ht="39.75" hidden="1" customHeight="1" x14ac:dyDescent="0.25"/>
    <row r="456" ht="39.75" hidden="1" customHeight="1" x14ac:dyDescent="0.25"/>
    <row r="457" ht="39.75" hidden="1" customHeight="1" x14ac:dyDescent="0.25"/>
    <row r="458" ht="39.75" hidden="1" customHeight="1" x14ac:dyDescent="0.25"/>
    <row r="459" ht="39.75" hidden="1" customHeight="1" x14ac:dyDescent="0.25"/>
    <row r="460" ht="39.75" hidden="1" customHeight="1" x14ac:dyDescent="0.25"/>
    <row r="461" ht="39.75" hidden="1" customHeight="1" x14ac:dyDescent="0.25"/>
    <row r="462" ht="39.75" hidden="1" customHeight="1" x14ac:dyDescent="0.25"/>
    <row r="463" ht="39.75" hidden="1" customHeight="1" x14ac:dyDescent="0.25"/>
    <row r="464" ht="39.75" hidden="1" customHeight="1" x14ac:dyDescent="0.25"/>
    <row r="465" ht="39.75" hidden="1" customHeight="1" x14ac:dyDescent="0.25"/>
    <row r="466" ht="39.75" hidden="1" customHeight="1" x14ac:dyDescent="0.25"/>
    <row r="467" ht="39.75" hidden="1" customHeight="1" x14ac:dyDescent="0.25"/>
    <row r="468" ht="39.75" hidden="1" customHeight="1" x14ac:dyDescent="0.25"/>
    <row r="469" ht="39.75" hidden="1" customHeight="1" x14ac:dyDescent="0.25"/>
    <row r="470" ht="39.75" hidden="1" customHeight="1" x14ac:dyDescent="0.25"/>
    <row r="471" ht="39.75" hidden="1" customHeight="1" x14ac:dyDescent="0.25"/>
    <row r="472" ht="39.75" hidden="1" customHeight="1" x14ac:dyDescent="0.25"/>
    <row r="473" ht="39.75" hidden="1" customHeight="1" x14ac:dyDescent="0.25"/>
    <row r="474" ht="39.75" hidden="1" customHeight="1" x14ac:dyDescent="0.25"/>
    <row r="475" ht="39.75" hidden="1" customHeight="1" x14ac:dyDescent="0.25"/>
    <row r="476" ht="39.75" hidden="1" customHeight="1" x14ac:dyDescent="0.25"/>
    <row r="477" ht="39.75" hidden="1" customHeight="1" x14ac:dyDescent="0.25"/>
    <row r="478" ht="39.75" hidden="1" customHeight="1" x14ac:dyDescent="0.25"/>
    <row r="479" ht="39.75" hidden="1" customHeight="1" x14ac:dyDescent="0.25"/>
    <row r="480" ht="39.75" hidden="1" customHeight="1" x14ac:dyDescent="0.25"/>
    <row r="481" ht="39.75" hidden="1" customHeight="1" x14ac:dyDescent="0.25"/>
    <row r="482" ht="39.75" hidden="1" customHeight="1" x14ac:dyDescent="0.25"/>
    <row r="483" ht="39.75" hidden="1" customHeight="1" x14ac:dyDescent="0.25"/>
    <row r="484" ht="39.75" hidden="1" customHeight="1" x14ac:dyDescent="0.25"/>
    <row r="485" ht="39.75" hidden="1" customHeight="1" x14ac:dyDescent="0.25"/>
    <row r="486" ht="39.75" hidden="1" customHeight="1" x14ac:dyDescent="0.25"/>
    <row r="487" ht="39.75" hidden="1" customHeight="1" x14ac:dyDescent="0.25"/>
    <row r="488" ht="39.75" hidden="1" customHeight="1" x14ac:dyDescent="0.25"/>
    <row r="489" ht="39.75" hidden="1" customHeight="1" x14ac:dyDescent="0.25"/>
    <row r="490" ht="39.75" hidden="1" customHeight="1" x14ac:dyDescent="0.25"/>
    <row r="491" ht="39.75" hidden="1" customHeight="1" x14ac:dyDescent="0.25"/>
    <row r="492" ht="39.75" hidden="1" customHeight="1" x14ac:dyDescent="0.25"/>
    <row r="493" ht="39.75" hidden="1" customHeight="1" x14ac:dyDescent="0.25"/>
    <row r="494" ht="39.75" hidden="1" customHeight="1" x14ac:dyDescent="0.25"/>
    <row r="495" ht="39.75" hidden="1" customHeight="1" x14ac:dyDescent="0.25"/>
    <row r="496" ht="39.75" hidden="1" customHeight="1" x14ac:dyDescent="0.25"/>
    <row r="497" ht="39.75" hidden="1" customHeight="1" x14ac:dyDescent="0.25"/>
    <row r="498" ht="39.75" hidden="1" customHeight="1" x14ac:dyDescent="0.25"/>
    <row r="499" ht="39.75" hidden="1" customHeight="1" x14ac:dyDescent="0.25"/>
    <row r="500" ht="39.75" hidden="1" customHeight="1" x14ac:dyDescent="0.25"/>
    <row r="501" ht="39.75" hidden="1" customHeight="1" x14ac:dyDescent="0.25"/>
    <row r="502" ht="39.75" hidden="1" customHeight="1" x14ac:dyDescent="0.25"/>
    <row r="503" ht="39.75" hidden="1" customHeight="1" x14ac:dyDescent="0.25"/>
    <row r="504" ht="39.75" hidden="1" customHeight="1" x14ac:dyDescent="0.25"/>
    <row r="505" ht="39.75" hidden="1" customHeight="1" x14ac:dyDescent="0.25"/>
    <row r="506" ht="39.75" hidden="1" customHeight="1" x14ac:dyDescent="0.25"/>
    <row r="507" ht="39.75" hidden="1" customHeight="1" x14ac:dyDescent="0.25"/>
    <row r="508" ht="39.75" hidden="1" customHeight="1" x14ac:dyDescent="0.25"/>
    <row r="509" ht="39.75" hidden="1" customHeight="1" x14ac:dyDescent="0.25"/>
    <row r="510" ht="39.75" hidden="1" customHeight="1" x14ac:dyDescent="0.25"/>
    <row r="511" ht="39.75" hidden="1" customHeight="1" x14ac:dyDescent="0.25"/>
    <row r="512" ht="39.75" hidden="1" customHeight="1" x14ac:dyDescent="0.25"/>
    <row r="513" ht="39.75" hidden="1" customHeight="1" x14ac:dyDescent="0.25"/>
    <row r="514" ht="39.75" hidden="1" customHeight="1" x14ac:dyDescent="0.25"/>
    <row r="515" ht="39.75" hidden="1" customHeight="1" x14ac:dyDescent="0.25"/>
    <row r="516" ht="39.75" hidden="1" customHeight="1" x14ac:dyDescent="0.25"/>
    <row r="517" ht="39.75" hidden="1" customHeight="1" x14ac:dyDescent="0.25"/>
    <row r="518" ht="39.75" hidden="1" customHeight="1" x14ac:dyDescent="0.25"/>
    <row r="519" ht="39.75" hidden="1" customHeight="1" x14ac:dyDescent="0.25"/>
    <row r="520" ht="39.75" hidden="1" customHeight="1" x14ac:dyDescent="0.25"/>
    <row r="521" ht="39.75" hidden="1" customHeight="1" x14ac:dyDescent="0.25"/>
    <row r="522" ht="39.75" hidden="1" customHeight="1" x14ac:dyDescent="0.25"/>
    <row r="523" ht="39.75" hidden="1" customHeight="1" x14ac:dyDescent="0.25"/>
    <row r="524" ht="39.75" hidden="1" customHeight="1" x14ac:dyDescent="0.25"/>
    <row r="525" ht="39.75" hidden="1" customHeight="1" x14ac:dyDescent="0.25"/>
    <row r="526" ht="39.75" hidden="1" customHeight="1" x14ac:dyDescent="0.25"/>
    <row r="527" ht="39.75" hidden="1" customHeight="1" x14ac:dyDescent="0.25"/>
    <row r="528" ht="39.75" hidden="1" customHeight="1" x14ac:dyDescent="0.25"/>
    <row r="529" ht="39.75" hidden="1" customHeight="1" x14ac:dyDescent="0.25"/>
    <row r="530" ht="39.75" hidden="1" customHeight="1" x14ac:dyDescent="0.25"/>
    <row r="531" ht="39.75" hidden="1" customHeight="1" x14ac:dyDescent="0.25"/>
    <row r="532" ht="39.75" hidden="1" customHeight="1" x14ac:dyDescent="0.25"/>
    <row r="533" ht="39.75" hidden="1" customHeight="1" x14ac:dyDescent="0.25"/>
    <row r="534" ht="39.75" hidden="1" customHeight="1" x14ac:dyDescent="0.25"/>
    <row r="535" ht="39.75" hidden="1" customHeight="1" x14ac:dyDescent="0.25"/>
    <row r="536" ht="39.75" hidden="1" customHeight="1" x14ac:dyDescent="0.25"/>
    <row r="537" ht="39.75" hidden="1" customHeight="1" x14ac:dyDescent="0.25"/>
    <row r="538" ht="39.75" hidden="1" customHeight="1" x14ac:dyDescent="0.25"/>
    <row r="539" ht="39.75" hidden="1" customHeight="1" x14ac:dyDescent="0.25"/>
  </sheetData>
  <sheetProtection password="CF7A" sheet="1" objects="1" scenarios="1" selectLockedCells="1"/>
  <mergeCells count="33">
    <mergeCell ref="A39:B39"/>
    <mergeCell ref="D39:D42"/>
    <mergeCell ref="E22:F22"/>
    <mergeCell ref="E23:F23"/>
    <mergeCell ref="E27:F27"/>
    <mergeCell ref="E28:F28"/>
    <mergeCell ref="E29:F29"/>
    <mergeCell ref="B31:N32"/>
    <mergeCell ref="E17:F17"/>
    <mergeCell ref="A1:O1"/>
    <mergeCell ref="A2:N2"/>
    <mergeCell ref="A34:C34"/>
    <mergeCell ref="A36:C36"/>
    <mergeCell ref="E21:F21"/>
    <mergeCell ref="I10:M10"/>
    <mergeCell ref="N10:N11"/>
    <mergeCell ref="E12:F12"/>
    <mergeCell ref="E18:F18"/>
    <mergeCell ref="E19:F19"/>
    <mergeCell ref="E20:F20"/>
    <mergeCell ref="A3:N3"/>
    <mergeCell ref="A4:N4"/>
    <mergeCell ref="A5:N5"/>
    <mergeCell ref="K8:L8"/>
    <mergeCell ref="E13:F13"/>
    <mergeCell ref="E14:F14"/>
    <mergeCell ref="E15:F15"/>
    <mergeCell ref="E16:F16"/>
    <mergeCell ref="A10:A11"/>
    <mergeCell ref="B10:B11"/>
    <mergeCell ref="C10:C11"/>
    <mergeCell ref="D10:D11"/>
    <mergeCell ref="E10:F11"/>
  </mergeCells>
  <printOptions horizontalCentered="1" verticalCentered="1"/>
  <pageMargins left="0.19685039370078741" right="0.19685039370078741" top="0.39370078740157483" bottom="0" header="0.31496062992125984" footer="0.31496062992125984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theme="1"/>
  </sheetPr>
  <dimension ref="A1:S36"/>
  <sheetViews>
    <sheetView showGridLines="0" zoomScaleNormal="100" zoomScaleSheetLayoutView="100" workbookViewId="0">
      <selection activeCell="K20" sqref="K20"/>
    </sheetView>
  </sheetViews>
  <sheetFormatPr defaultColWidth="0" defaultRowHeight="0" customHeight="1" zeroHeight="1" x14ac:dyDescent="0.25"/>
  <cols>
    <col min="1" max="1" width="1.5703125" customWidth="1"/>
    <col min="2" max="2" width="6.5703125" customWidth="1"/>
    <col min="3" max="3" width="7" customWidth="1"/>
    <col min="4" max="4" width="40.85546875" customWidth="1"/>
    <col min="5" max="5" width="7.85546875" customWidth="1"/>
    <col min="6" max="6" width="9.85546875" customWidth="1"/>
    <col min="7" max="7" width="15.42578125" customWidth="1"/>
    <col min="8" max="9" width="5.7109375" customWidth="1"/>
    <col min="10" max="14" width="5.5703125" customWidth="1"/>
    <col min="15" max="15" width="46" bestFit="1" customWidth="1"/>
    <col min="16" max="16" width="1.5703125" customWidth="1"/>
    <col min="17" max="16384" width="1.5703125" hidden="1"/>
  </cols>
  <sheetData>
    <row r="1" spans="2:19" ht="60.75" customHeight="1" thickBot="1" x14ac:dyDescent="0.3">
      <c r="B1" s="85" t="str">
        <f>IF(MENU!A2="","",MENU!A2)</f>
        <v/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34" t="str">
        <f>IF(MENU!N2="","",MENU!N2)</f>
        <v/>
      </c>
    </row>
    <row r="2" spans="2:19" ht="3" customHeight="1" thickBot="1" x14ac:dyDescent="0.3">
      <c r="B2" s="86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8"/>
    </row>
    <row r="3" spans="2:19" ht="23.25" customHeight="1" x14ac:dyDescent="0.25">
      <c r="B3" s="89" t="str">
        <f>IF(MENU!A4="","",MENU!A4)</f>
        <v>ENDEREÇO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</row>
    <row r="4" spans="2:19" ht="21" customHeight="1" x14ac:dyDescent="0.25">
      <c r="B4" s="89" t="str">
        <f>IF(MENU!A5="","",MENU!A5)</f>
        <v>CEP, TELEFONE E EMAIL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</row>
    <row r="5" spans="2:19" ht="12.75" customHeight="1" x14ac:dyDescent="0.25">
      <c r="B5" s="1"/>
      <c r="C5" s="1"/>
      <c r="D5" s="1"/>
      <c r="E5" s="1"/>
      <c r="F5" s="90"/>
      <c r="G5" s="90"/>
      <c r="H5" s="90"/>
      <c r="I5" s="90"/>
      <c r="J5" s="90"/>
      <c r="K5" s="90"/>
      <c r="L5" s="1"/>
      <c r="M5" s="1"/>
      <c r="N5" s="3"/>
      <c r="O5" s="4"/>
    </row>
    <row r="6" spans="2:19" ht="4.5" customHeight="1" x14ac:dyDescent="0.25">
      <c r="B6" s="1"/>
      <c r="C6" s="1"/>
      <c r="D6" s="1"/>
      <c r="E6" s="1"/>
      <c r="F6" s="35"/>
      <c r="G6" s="1"/>
      <c r="H6" s="1"/>
      <c r="I6" s="1"/>
      <c r="J6" s="1"/>
      <c r="K6" s="1"/>
      <c r="L6" s="1"/>
      <c r="M6" s="1"/>
      <c r="N6" s="3"/>
      <c r="O6" s="4"/>
    </row>
    <row r="7" spans="2:19" ht="15.75" x14ac:dyDescent="0.25">
      <c r="B7" s="90" t="str">
        <f>CONCATENATE(VLOOKUP('LIVRO DE PONTO'!O35,DADOS!A7:E227,4,0),VLOOKUP('LIVRO DE PONTO'!O35,DADOS!A7:E227,2,0))</f>
        <v>FÉRIAS ESCOLARES - 02/01 a 31/01</v>
      </c>
      <c r="C7" s="90"/>
      <c r="D7" s="90"/>
      <c r="E7" s="90"/>
      <c r="F7" s="90"/>
      <c r="G7" s="90"/>
      <c r="H7" s="91" t="str">
        <f>CONCATENATE("TURNO: ",MENU!F8)</f>
        <v>TURNO: MATUTINO</v>
      </c>
      <c r="I7" s="91"/>
      <c r="J7" s="91"/>
      <c r="K7" s="91"/>
      <c r="L7" s="84" t="s">
        <v>31</v>
      </c>
      <c r="M7" s="84"/>
      <c r="N7" s="84"/>
      <c r="O7" s="36">
        <f>VLOOKUP('LIVRO DE PONTO'!O35,DADOS!A7:E227,5,0)</f>
        <v>45659</v>
      </c>
      <c r="P7" s="37"/>
      <c r="Q7" s="37"/>
      <c r="R7" s="37"/>
      <c r="S7" s="37"/>
    </row>
    <row r="8" spans="2:19" ht="9" customHeight="1" thickBot="1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2:19" ht="21.75" customHeight="1" thickBot="1" x14ac:dyDescent="0.3">
      <c r="B9" s="61" t="s">
        <v>3</v>
      </c>
      <c r="C9" s="61" t="s">
        <v>4</v>
      </c>
      <c r="D9" s="65" t="s">
        <v>33</v>
      </c>
      <c r="E9" s="63" t="s">
        <v>5</v>
      </c>
      <c r="F9" s="67" t="s">
        <v>38</v>
      </c>
      <c r="G9" s="68"/>
      <c r="H9" s="7" t="s">
        <v>8</v>
      </c>
      <c r="I9" s="7" t="s">
        <v>8</v>
      </c>
      <c r="J9" s="94" t="s">
        <v>37</v>
      </c>
      <c r="K9" s="95"/>
      <c r="L9" s="95"/>
      <c r="M9" s="95"/>
      <c r="N9" s="96"/>
      <c r="O9" s="65" t="s">
        <v>10</v>
      </c>
    </row>
    <row r="10" spans="2:19" ht="15.75" thickBot="1" x14ac:dyDescent="0.3">
      <c r="B10" s="62"/>
      <c r="C10" s="62"/>
      <c r="D10" s="66"/>
      <c r="E10" s="64"/>
      <c r="F10" s="69"/>
      <c r="G10" s="70"/>
      <c r="H10" s="8" t="s">
        <v>11</v>
      </c>
      <c r="I10" s="8" t="s">
        <v>12</v>
      </c>
      <c r="J10" s="9" t="s">
        <v>13</v>
      </c>
      <c r="K10" s="9" t="s">
        <v>14</v>
      </c>
      <c r="L10" s="9" t="s">
        <v>15</v>
      </c>
      <c r="M10" s="9" t="s">
        <v>16</v>
      </c>
      <c r="N10" s="9" t="s">
        <v>17</v>
      </c>
      <c r="O10" s="66"/>
    </row>
    <row r="11" spans="2:19" ht="19.5" customHeight="1" thickBot="1" x14ac:dyDescent="0.3">
      <c r="B11" s="10">
        <f>ROW()-10</f>
        <v>1</v>
      </c>
      <c r="C11" s="38"/>
      <c r="D11" s="39"/>
      <c r="E11" s="40"/>
      <c r="F11" s="92"/>
      <c r="G11" s="93"/>
      <c r="H11" s="41"/>
      <c r="I11" s="41"/>
      <c r="J11" s="41"/>
      <c r="K11" s="41"/>
      <c r="L11" s="41"/>
      <c r="M11" s="42"/>
      <c r="N11" s="41"/>
      <c r="O11" s="41"/>
    </row>
    <row r="12" spans="2:19" ht="19.5" customHeight="1" thickBot="1" x14ac:dyDescent="0.3">
      <c r="B12" s="10">
        <f t="shared" ref="B12:B28" si="0">ROW()-10</f>
        <v>2</v>
      </c>
      <c r="C12" s="38"/>
      <c r="D12" s="39"/>
      <c r="E12" s="40"/>
      <c r="F12" s="92"/>
      <c r="G12" s="93"/>
      <c r="H12" s="41"/>
      <c r="I12" s="41"/>
      <c r="J12" s="41"/>
      <c r="K12" s="41"/>
      <c r="L12" s="41"/>
      <c r="M12" s="42"/>
      <c r="N12" s="41"/>
      <c r="O12" s="43"/>
    </row>
    <row r="13" spans="2:19" ht="19.5" customHeight="1" thickBot="1" x14ac:dyDescent="0.3">
      <c r="B13" s="10">
        <f t="shared" si="0"/>
        <v>3</v>
      </c>
      <c r="C13" s="38"/>
      <c r="D13" s="39"/>
      <c r="E13" s="40"/>
      <c r="F13" s="92"/>
      <c r="G13" s="93"/>
      <c r="H13" s="41"/>
      <c r="I13" s="41"/>
      <c r="J13" s="41"/>
      <c r="K13" s="41"/>
      <c r="L13" s="41"/>
      <c r="M13" s="41"/>
      <c r="N13" s="41"/>
      <c r="O13" s="43"/>
    </row>
    <row r="14" spans="2:19" ht="19.5" customHeight="1" thickBot="1" x14ac:dyDescent="0.3">
      <c r="B14" s="10">
        <f t="shared" si="0"/>
        <v>4</v>
      </c>
      <c r="C14" s="38"/>
      <c r="D14" s="39"/>
      <c r="E14" s="40"/>
      <c r="F14" s="92"/>
      <c r="G14" s="93"/>
      <c r="H14" s="41"/>
      <c r="I14" s="41"/>
      <c r="J14" s="41"/>
      <c r="K14" s="41"/>
      <c r="L14" s="41"/>
      <c r="M14" s="41"/>
      <c r="N14" s="41"/>
      <c r="O14" s="43"/>
    </row>
    <row r="15" spans="2:19" ht="19.5" customHeight="1" thickBot="1" x14ac:dyDescent="0.3">
      <c r="B15" s="10">
        <f t="shared" si="0"/>
        <v>5</v>
      </c>
      <c r="C15" s="38"/>
      <c r="D15" s="39"/>
      <c r="E15" s="40"/>
      <c r="F15" s="92"/>
      <c r="G15" s="93"/>
      <c r="H15" s="41"/>
      <c r="I15" s="41"/>
      <c r="J15" s="44"/>
      <c r="K15" s="41"/>
      <c r="L15" s="41"/>
      <c r="M15" s="41"/>
      <c r="N15" s="41"/>
      <c r="O15" s="43"/>
    </row>
    <row r="16" spans="2:19" ht="19.5" customHeight="1" thickBot="1" x14ac:dyDescent="0.3">
      <c r="B16" s="10">
        <f t="shared" si="0"/>
        <v>6</v>
      </c>
      <c r="C16" s="38"/>
      <c r="D16" s="39"/>
      <c r="E16" s="40"/>
      <c r="F16" s="92"/>
      <c r="G16" s="93"/>
      <c r="H16" s="41"/>
      <c r="I16" s="41"/>
      <c r="J16" s="41"/>
      <c r="K16" s="41"/>
      <c r="L16" s="41"/>
      <c r="M16" s="41"/>
      <c r="N16" s="45"/>
      <c r="O16" s="43"/>
    </row>
    <row r="17" spans="2:15" ht="19.5" customHeight="1" thickBot="1" x14ac:dyDescent="0.3">
      <c r="B17" s="10">
        <f t="shared" si="0"/>
        <v>7</v>
      </c>
      <c r="C17" s="38"/>
      <c r="D17" s="39"/>
      <c r="E17" s="40"/>
      <c r="F17" s="92"/>
      <c r="G17" s="93"/>
      <c r="H17" s="41"/>
      <c r="I17" s="41"/>
      <c r="J17" s="41"/>
      <c r="K17" s="41"/>
      <c r="L17" s="41"/>
      <c r="M17" s="41"/>
      <c r="N17" s="41"/>
      <c r="O17" s="43"/>
    </row>
    <row r="18" spans="2:15" ht="19.5" customHeight="1" thickBot="1" x14ac:dyDescent="0.3">
      <c r="B18" s="10">
        <f t="shared" si="0"/>
        <v>8</v>
      </c>
      <c r="C18" s="38"/>
      <c r="D18" s="39"/>
      <c r="E18" s="40"/>
      <c r="F18" s="92"/>
      <c r="G18" s="93"/>
      <c r="H18" s="41"/>
      <c r="I18" s="41"/>
      <c r="J18" s="41"/>
      <c r="K18" s="41"/>
      <c r="L18" s="41"/>
      <c r="M18" s="41"/>
      <c r="N18" s="41"/>
      <c r="O18" s="43"/>
    </row>
    <row r="19" spans="2:15" ht="19.5" customHeight="1" thickBot="1" x14ac:dyDescent="0.3">
      <c r="B19" s="10">
        <f t="shared" si="0"/>
        <v>9</v>
      </c>
      <c r="C19" s="38"/>
      <c r="D19" s="39"/>
      <c r="E19" s="40"/>
      <c r="F19" s="92"/>
      <c r="G19" s="93"/>
      <c r="H19" s="41"/>
      <c r="I19" s="41"/>
      <c r="J19" s="41"/>
      <c r="K19" s="41"/>
      <c r="L19" s="41"/>
      <c r="M19" s="41"/>
      <c r="N19" s="41"/>
      <c r="O19" s="43"/>
    </row>
    <row r="20" spans="2:15" ht="19.5" customHeight="1" thickBot="1" x14ac:dyDescent="0.3">
      <c r="B20" s="10">
        <f t="shared" si="0"/>
        <v>10</v>
      </c>
      <c r="C20" s="38"/>
      <c r="D20" s="39"/>
      <c r="E20" s="40"/>
      <c r="F20" s="92"/>
      <c r="G20" s="93"/>
      <c r="H20" s="41"/>
      <c r="I20" s="41"/>
      <c r="J20" s="41"/>
      <c r="K20" s="41"/>
      <c r="L20" s="41"/>
      <c r="M20" s="41"/>
      <c r="N20" s="41"/>
      <c r="O20" s="43"/>
    </row>
    <row r="21" spans="2:15" ht="19.5" customHeight="1" thickBot="1" x14ac:dyDescent="0.3">
      <c r="B21" s="10">
        <f t="shared" si="0"/>
        <v>11</v>
      </c>
      <c r="C21" s="38"/>
      <c r="D21" s="39"/>
      <c r="E21" s="40"/>
      <c r="F21" s="92"/>
      <c r="G21" s="93"/>
      <c r="H21" s="41"/>
      <c r="I21" s="41"/>
      <c r="J21" s="46"/>
      <c r="K21" s="47"/>
      <c r="L21" s="46"/>
      <c r="M21" s="46"/>
      <c r="N21" s="48"/>
      <c r="O21" s="43"/>
    </row>
    <row r="22" spans="2:15" ht="19.5" customHeight="1" thickBot="1" x14ac:dyDescent="0.3">
      <c r="B22" s="10">
        <f t="shared" si="0"/>
        <v>12</v>
      </c>
      <c r="C22" s="49"/>
      <c r="D22" s="50"/>
      <c r="E22" s="40"/>
      <c r="F22" s="92"/>
      <c r="G22" s="93"/>
      <c r="H22" s="46"/>
      <c r="I22" s="46"/>
      <c r="J22" s="46"/>
      <c r="K22" s="47"/>
      <c r="L22" s="46"/>
      <c r="M22" s="46"/>
      <c r="N22" s="48"/>
      <c r="O22" s="46"/>
    </row>
    <row r="23" spans="2:15" ht="19.5" customHeight="1" thickBot="1" x14ac:dyDescent="0.3">
      <c r="B23" s="10">
        <f>ROW()-10</f>
        <v>13</v>
      </c>
      <c r="C23" s="38"/>
      <c r="D23" s="39"/>
      <c r="E23" s="40"/>
      <c r="F23" s="51"/>
      <c r="G23" s="52"/>
      <c r="H23" s="43"/>
      <c r="I23" s="43"/>
      <c r="J23" s="46"/>
      <c r="K23" s="47"/>
      <c r="L23" s="46"/>
      <c r="M23" s="46"/>
      <c r="N23" s="48"/>
      <c r="O23" s="43"/>
    </row>
    <row r="24" spans="2:15" ht="19.5" customHeight="1" thickBot="1" x14ac:dyDescent="0.3">
      <c r="B24" s="10">
        <f t="shared" si="0"/>
        <v>14</v>
      </c>
      <c r="C24" s="38"/>
      <c r="D24" s="39"/>
      <c r="E24" s="40"/>
      <c r="F24" s="51"/>
      <c r="G24" s="52"/>
      <c r="H24" s="43"/>
      <c r="I24" s="43"/>
      <c r="J24" s="46"/>
      <c r="K24" s="47"/>
      <c r="L24" s="46"/>
      <c r="M24" s="46"/>
      <c r="N24" s="48"/>
      <c r="O24" s="43"/>
    </row>
    <row r="25" spans="2:15" ht="19.5" customHeight="1" thickBot="1" x14ac:dyDescent="0.3">
      <c r="B25" s="10">
        <f t="shared" si="0"/>
        <v>15</v>
      </c>
      <c r="C25" s="38"/>
      <c r="D25" s="39"/>
      <c r="E25" s="40"/>
      <c r="F25" s="51"/>
      <c r="G25" s="52"/>
      <c r="H25" s="43"/>
      <c r="I25" s="43"/>
      <c r="J25" s="46"/>
      <c r="K25" s="47"/>
      <c r="L25" s="46"/>
      <c r="M25" s="46"/>
      <c r="N25" s="48"/>
      <c r="O25" s="43"/>
    </row>
    <row r="26" spans="2:15" ht="19.5" customHeight="1" thickBot="1" x14ac:dyDescent="0.3">
      <c r="B26" s="10">
        <f t="shared" si="0"/>
        <v>16</v>
      </c>
      <c r="C26" s="38"/>
      <c r="D26" s="39"/>
      <c r="E26" s="40"/>
      <c r="F26" s="92"/>
      <c r="G26" s="93"/>
      <c r="H26" s="41"/>
      <c r="I26" s="41"/>
      <c r="J26" s="46"/>
      <c r="K26" s="47"/>
      <c r="L26" s="46"/>
      <c r="M26" s="46"/>
      <c r="N26" s="48"/>
      <c r="O26" s="43"/>
    </row>
    <row r="27" spans="2:15" ht="19.5" customHeight="1" thickBot="1" x14ac:dyDescent="0.3">
      <c r="B27" s="10">
        <f t="shared" si="0"/>
        <v>17</v>
      </c>
      <c r="C27" s="49"/>
      <c r="D27" s="50"/>
      <c r="E27" s="40"/>
      <c r="F27" s="92"/>
      <c r="G27" s="93"/>
      <c r="H27" s="46"/>
      <c r="I27" s="46"/>
      <c r="J27" s="46"/>
      <c r="K27" s="47"/>
      <c r="L27" s="46"/>
      <c r="M27" s="46"/>
      <c r="N27" s="48"/>
      <c r="O27" s="46"/>
    </row>
    <row r="28" spans="2:15" ht="19.5" customHeight="1" thickBot="1" x14ac:dyDescent="0.3">
      <c r="B28" s="10">
        <f t="shared" si="0"/>
        <v>18</v>
      </c>
      <c r="C28" s="38"/>
      <c r="D28" s="39"/>
      <c r="E28" s="40"/>
      <c r="F28" s="92"/>
      <c r="G28" s="93"/>
      <c r="H28" s="41"/>
      <c r="I28" s="41"/>
      <c r="J28" s="46"/>
      <c r="K28" s="47"/>
      <c r="L28" s="46"/>
      <c r="M28" s="46"/>
      <c r="N28" s="48"/>
      <c r="O28" s="43"/>
    </row>
    <row r="29" spans="2:15" ht="15.75" thickBot="1" x14ac:dyDescent="0.3"/>
    <row r="30" spans="2:15" ht="15" x14ac:dyDescent="0.25">
      <c r="B30" s="24" t="s">
        <v>39</v>
      </c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8"/>
    </row>
    <row r="31" spans="2:15" ht="46.5" customHeight="1" thickBot="1" x14ac:dyDescent="0.3">
      <c r="B31" s="25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100"/>
    </row>
    <row r="32" spans="2:15" ht="7.5" customHeight="1" x14ac:dyDescent="0.25"/>
    <row r="33" spans="2:15" ht="15.75" x14ac:dyDescent="0.25">
      <c r="B33" s="27" t="str">
        <f>CONCATENATE(MENU!A34,MENU!D34)</f>
        <v xml:space="preserve">COORDENADOR (A): 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</row>
    <row r="34" spans="2:15" ht="15.75" x14ac:dyDescent="0.25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</row>
    <row r="35" spans="2:15" ht="15.75" x14ac:dyDescent="0.25">
      <c r="B35" s="27" t="str">
        <f>CONCATENATE(MENU!A36,MENU!D36)</f>
        <v xml:space="preserve">DIRETOR (A): 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O35" s="53">
        <v>1</v>
      </c>
    </row>
    <row r="36" spans="2:15" ht="15" hidden="1" x14ac:dyDescent="0.25"/>
  </sheetData>
  <sheetProtection algorithmName="SHA-512" hashValue="JVSdlTFsOerWCbeBk9agCEyAhVsgqbznIZRTSk/NbLhvuW5/YzNh02fsD8vS+thmoL0zQoGnj1RUrRneJYpdGA==" saltValue="KvicDNl2tFg7Czt4VK5wYw==" spinCount="100000" sheet="1" formatCells="0" formatColumns="0" formatRows="0"/>
  <mergeCells count="31">
    <mergeCell ref="F22:G22"/>
    <mergeCell ref="F26:G26"/>
    <mergeCell ref="F27:G27"/>
    <mergeCell ref="F28:G28"/>
    <mergeCell ref="C30:O31"/>
    <mergeCell ref="F21:G21"/>
    <mergeCell ref="O9:O10"/>
    <mergeCell ref="F11:G11"/>
    <mergeCell ref="F12:G12"/>
    <mergeCell ref="F13:G13"/>
    <mergeCell ref="F14:G14"/>
    <mergeCell ref="F15:G15"/>
    <mergeCell ref="J9:N9"/>
    <mergeCell ref="F16:G16"/>
    <mergeCell ref="F17:G17"/>
    <mergeCell ref="F18:G18"/>
    <mergeCell ref="F19:G19"/>
    <mergeCell ref="F20:G20"/>
    <mergeCell ref="B9:B10"/>
    <mergeCell ref="C9:C10"/>
    <mergeCell ref="D9:D10"/>
    <mergeCell ref="E9:E10"/>
    <mergeCell ref="F9:G10"/>
    <mergeCell ref="L7:N7"/>
    <mergeCell ref="B1:N1"/>
    <mergeCell ref="B2:O2"/>
    <mergeCell ref="B3:O3"/>
    <mergeCell ref="B4:O4"/>
    <mergeCell ref="F5:K5"/>
    <mergeCell ref="H7:K7"/>
    <mergeCell ref="B7:G7"/>
  </mergeCells>
  <printOptions horizontalCentered="1" verticalCentered="1"/>
  <pageMargins left="0.11811023622047245" right="0.11811023622047245" top="0.39370078740157483" bottom="0" header="0" footer="0"/>
  <pageSetup paperSize="9"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DADOS</vt:lpstr>
      <vt:lpstr>MENU</vt:lpstr>
      <vt:lpstr>LIVRO DE PONTO</vt:lpstr>
      <vt:lpstr>'LIVRO DE PONTO'!Area_de_impressao</vt:lpstr>
      <vt:lpstr>MENU!Area_de_impressao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Proprietário</dc:creator>
  <cp:lastModifiedBy>Gilmar Ribeiro</cp:lastModifiedBy>
  <cp:lastPrinted>2019-02-15T18:39:19Z</cp:lastPrinted>
  <dcterms:created xsi:type="dcterms:W3CDTF">2019-02-15T00:50:20Z</dcterms:created>
  <dcterms:modified xsi:type="dcterms:W3CDTF">2025-02-11T16:33:04Z</dcterms:modified>
</cp:coreProperties>
</file>